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rahmatagung/adamrahmatagung/manday/"/>
    </mc:Choice>
  </mc:AlternateContent>
  <xr:revisionPtr revIDLastSave="0" documentId="13_ncr:1_{5F605AED-42C2-AA4D-9641-38592C3F5F83}" xr6:coauthVersionLast="47" xr6:coauthVersionMax="47" xr10:uidLastSave="{00000000-0000-0000-0000-000000000000}"/>
  <bookViews>
    <workbookView xWindow="0" yWindow="760" windowWidth="34560" windowHeight="20280" activeTab="1" xr2:uid="{4D2D66A8-C56A-49BC-80F1-024D48B56735}"/>
  </bookViews>
  <sheets>
    <sheet name="Training" sheetId="2" r:id="rId1"/>
    <sheet name="Consultancy" sheetId="3" r:id="rId2"/>
    <sheet name="Auditor" sheetId="4" r:id="rId3"/>
  </sheets>
  <definedNames>
    <definedName name="_xlnm._FilterDatabase" localSheetId="1" hidden="1">Consultancy!$C$1:$C$62</definedName>
    <definedName name="_xlnm._FilterDatabase" localSheetId="0" hidden="1">Training!$A$1:$J$216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3" l="1"/>
  <c r="A123" i="2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J123" i="2"/>
  <c r="I29" i="3"/>
  <c r="I17" i="4"/>
  <c r="I16" i="4"/>
  <c r="J63" i="2"/>
  <c r="J159" i="2"/>
  <c r="J157" i="2"/>
  <c r="J201" i="2"/>
  <c r="J205" i="2"/>
  <c r="J214" i="2"/>
  <c r="J215" i="2"/>
  <c r="J183" i="2"/>
  <c r="J209" i="2"/>
  <c r="J177" i="2"/>
  <c r="J166" i="2"/>
  <c r="I161" i="2"/>
  <c r="J129" i="2"/>
  <c r="J130" i="2"/>
  <c r="J210" i="2"/>
  <c r="J152" i="2"/>
  <c r="J207" i="2"/>
  <c r="J206" i="2"/>
  <c r="J126" i="2"/>
  <c r="J153" i="2"/>
  <c r="J178" i="2"/>
  <c r="I13" i="3"/>
  <c r="I12" i="3"/>
  <c r="J198" i="2"/>
  <c r="J195" i="2"/>
  <c r="J202" i="2"/>
  <c r="H56" i="3"/>
  <c r="I55" i="3"/>
  <c r="I54" i="3"/>
  <c r="J213" i="2"/>
  <c r="J212" i="2"/>
  <c r="J211" i="2"/>
  <c r="J208" i="2"/>
  <c r="J204" i="2"/>
  <c r="J203" i="2"/>
  <c r="J197" i="2" l="1"/>
  <c r="J196" i="2"/>
  <c r="J200" i="2"/>
  <c r="J199" i="2"/>
  <c r="J194" i="2"/>
  <c r="J193" i="2"/>
  <c r="J192" i="2"/>
  <c r="J191" i="2"/>
  <c r="J190" i="2"/>
  <c r="I53" i="3"/>
  <c r="I52" i="3"/>
  <c r="I51" i="3"/>
  <c r="I50" i="3"/>
  <c r="J189" i="2"/>
  <c r="J188" i="2"/>
  <c r="J187" i="2"/>
  <c r="J186" i="2"/>
  <c r="J185" i="2"/>
  <c r="J175" i="2"/>
  <c r="J184" i="2"/>
  <c r="J182" i="2"/>
  <c r="J181" i="2"/>
  <c r="J180" i="2"/>
  <c r="I49" i="3"/>
  <c r="I48" i="3"/>
  <c r="I19" i="4"/>
  <c r="I18" i="4"/>
  <c r="J176" i="2"/>
  <c r="J174" i="2"/>
  <c r="J173" i="2"/>
  <c r="I89" i="2"/>
  <c r="I59" i="2"/>
  <c r="I58" i="2"/>
  <c r="I55" i="2"/>
  <c r="I54" i="2"/>
  <c r="I52" i="2"/>
  <c r="I50" i="2"/>
  <c r="I49" i="2"/>
  <c r="I46" i="2"/>
  <c r="I45" i="2"/>
  <c r="I44" i="2"/>
  <c r="I43" i="2"/>
  <c r="I42" i="2"/>
  <c r="J172" i="2"/>
  <c r="J171" i="2"/>
  <c r="J170" i="2"/>
  <c r="J168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J167" i="2"/>
  <c r="J165" i="2"/>
  <c r="J164" i="2"/>
  <c r="J163" i="2"/>
  <c r="I47" i="3"/>
  <c r="I46" i="3"/>
  <c r="I45" i="3"/>
  <c r="J162" i="2"/>
  <c r="I44" i="3"/>
  <c r="A122" i="2" l="1"/>
  <c r="I216" i="2"/>
  <c r="J160" i="2"/>
  <c r="J155" i="2"/>
  <c r="J154" i="2"/>
  <c r="J156" i="2"/>
  <c r="J158" i="2"/>
  <c r="J151" i="2"/>
  <c r="J150" i="2"/>
  <c r="J149" i="2"/>
  <c r="J146" i="2"/>
  <c r="J145" i="2"/>
  <c r="J148" i="2"/>
  <c r="I41" i="3"/>
  <c r="I39" i="3"/>
  <c r="I42" i="3"/>
  <c r="I37" i="3"/>
  <c r="I43" i="3"/>
  <c r="I38" i="3"/>
  <c r="I40" i="3"/>
  <c r="I36" i="3"/>
  <c r="I35" i="3"/>
  <c r="I34" i="3"/>
  <c r="I33" i="3"/>
  <c r="J147" i="2" l="1"/>
  <c r="J144" i="2"/>
  <c r="J143" i="2"/>
  <c r="J139" i="2"/>
  <c r="J138" i="2"/>
  <c r="J142" i="2"/>
  <c r="J141" i="2"/>
  <c r="J140" i="2"/>
  <c r="J137" i="2"/>
  <c r="I15" i="4"/>
  <c r="I32" i="3"/>
  <c r="I31" i="3"/>
  <c r="I30" i="3"/>
  <c r="I28" i="3"/>
  <c r="J133" i="2"/>
  <c r="J136" i="2"/>
  <c r="J135" i="2"/>
  <c r="J134" i="2"/>
  <c r="J132" i="2"/>
  <c r="J131" i="2"/>
  <c r="I27" i="3"/>
  <c r="I26" i="3"/>
  <c r="J128" i="2"/>
  <c r="I19" i="3"/>
  <c r="I25" i="3"/>
  <c r="I23" i="3"/>
  <c r="I20" i="3"/>
  <c r="I24" i="3"/>
  <c r="J127" i="2"/>
  <c r="J125" i="2"/>
  <c r="I22" i="3"/>
  <c r="J122" i="2"/>
  <c r="J124" i="2"/>
  <c r="I14" i="4"/>
  <c r="J121" i="2"/>
  <c r="J120" i="2"/>
  <c r="J119" i="2"/>
  <c r="J117" i="2"/>
  <c r="I13" i="4"/>
  <c r="J81" i="2"/>
  <c r="J84" i="2"/>
  <c r="J88" i="2"/>
  <c r="J114" i="2"/>
  <c r="J112" i="2"/>
  <c r="J109" i="2"/>
  <c r="I18" i="3"/>
  <c r="I17" i="3"/>
  <c r="I12" i="4"/>
  <c r="J107" i="2"/>
  <c r="J102" i="2"/>
  <c r="J99" i="2"/>
  <c r="J94" i="2"/>
  <c r="I16" i="3"/>
  <c r="I15" i="3"/>
  <c r="I14" i="3"/>
  <c r="I11" i="4"/>
  <c r="I10" i="4"/>
  <c r="I9" i="4"/>
  <c r="I8" i="4"/>
  <c r="I7" i="4"/>
  <c r="I6" i="4"/>
  <c r="I5" i="4"/>
  <c r="I4" i="4"/>
  <c r="I3" i="4"/>
  <c r="I2" i="4"/>
  <c r="I11" i="3"/>
  <c r="I10" i="3"/>
  <c r="I9" i="3"/>
  <c r="I8" i="3"/>
  <c r="I7" i="3"/>
  <c r="I6" i="3"/>
  <c r="I5" i="3"/>
  <c r="I4" i="3"/>
  <c r="I3" i="3"/>
  <c r="I2" i="3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2" i="2"/>
  <c r="J61" i="2"/>
  <c r="J60" i="2"/>
  <c r="J57" i="2"/>
  <c r="J56" i="2"/>
  <c r="J53" i="2"/>
  <c r="J51" i="2"/>
  <c r="J48" i="2"/>
  <c r="J47" i="2"/>
  <c r="J37" i="2"/>
  <c r="J38" i="2"/>
  <c r="J39" i="2"/>
  <c r="J40" i="2"/>
  <c r="J41" i="2"/>
  <c r="J31" i="2"/>
  <c r="J32" i="2"/>
  <c r="J33" i="2"/>
  <c r="J34" i="2"/>
  <c r="J35" i="2"/>
  <c r="J36" i="2"/>
  <c r="J24" i="2"/>
  <c r="J25" i="2"/>
  <c r="J26" i="2"/>
  <c r="J27" i="2"/>
  <c r="J28" i="2"/>
  <c r="J29" i="2"/>
  <c r="J30" i="2"/>
  <c r="J16" i="2"/>
  <c r="J17" i="2"/>
  <c r="J18" i="2"/>
  <c r="J19" i="2"/>
  <c r="J20" i="2"/>
  <c r="J21" i="2"/>
  <c r="J22" i="2"/>
  <c r="J23" i="2"/>
  <c r="J10" i="2"/>
  <c r="J11" i="2"/>
  <c r="J12" i="2"/>
  <c r="J13" i="2"/>
  <c r="J14" i="2"/>
  <c r="J15" i="2"/>
  <c r="J3" i="2"/>
  <c r="J4" i="2"/>
  <c r="J5" i="2"/>
  <c r="J6" i="2"/>
  <c r="J7" i="2"/>
  <c r="J8" i="2"/>
  <c r="J9" i="2"/>
  <c r="J2" i="2"/>
  <c r="J216" i="2" l="1"/>
  <c r="I56" i="3"/>
  <c r="I20" i="4"/>
</calcChain>
</file>

<file path=xl/sharedStrings.xml><?xml version="1.0" encoding="utf-8"?>
<sst xmlns="http://schemas.openxmlformats.org/spreadsheetml/2006/main" count="1722" uniqueCount="360">
  <si>
    <t>Duration</t>
  </si>
  <si>
    <t>1 day</t>
  </si>
  <si>
    <t>3 days</t>
  </si>
  <si>
    <t>2 days</t>
  </si>
  <si>
    <t>2 hours</t>
  </si>
  <si>
    <t>3 hours</t>
  </si>
  <si>
    <t>No</t>
  </si>
  <si>
    <t>Training Name</t>
  </si>
  <si>
    <t>Company</t>
  </si>
  <si>
    <t>Time</t>
  </si>
  <si>
    <t>Location</t>
  </si>
  <si>
    <t>Jakarta</t>
  </si>
  <si>
    <t>Safety Culture Improvement Team</t>
  </si>
  <si>
    <t>Bekasi – West Java</t>
  </si>
  <si>
    <t>Service Excellence</t>
  </si>
  <si>
    <t>PT. Formasi Bisnis Indonesia</t>
  </si>
  <si>
    <t>PT. Croda Indonesia</t>
  </si>
  <si>
    <t>Cikarang - Bekasi – West Java</t>
  </si>
  <si>
    <t>Palembang</t>
  </si>
  <si>
    <t>Balikpapan</t>
  </si>
  <si>
    <t>3 day</t>
  </si>
  <si>
    <t>Project Name</t>
  </si>
  <si>
    <t>Safety Culture Improvement Team (SCIT) Consultation</t>
  </si>
  <si>
    <t>3 mandays</t>
  </si>
  <si>
    <t>Quality Management System Document</t>
  </si>
  <si>
    <t>South Tapanuli Regency</t>
  </si>
  <si>
    <t>28 mandays</t>
  </si>
  <si>
    <t>March – September 2018</t>
  </si>
  <si>
    <t>Minas - Riau</t>
  </si>
  <si>
    <t>5 mandays</t>
  </si>
  <si>
    <t>October – December 2018</t>
  </si>
  <si>
    <t>Tiga Raksa - Tangerang</t>
  </si>
  <si>
    <t>Upgrading of Occupational Health and safety management system based on OHSAS 18001:2007 to ISO 45001:2015</t>
  </si>
  <si>
    <t>1 manday</t>
  </si>
  <si>
    <t>Telesonic Industrial Area - Tangerang</t>
  </si>
  <si>
    <t>Stadium of Gelora Bung Karno - Jakarta</t>
  </si>
  <si>
    <t>Certification Program for Integration between Occupational Safety and Health management System based on government regulation with Quality management system based on ISO 9001:2015</t>
  </si>
  <si>
    <t>PT. PLN UIP Nusra – Mataram - Lombok</t>
  </si>
  <si>
    <t>Lombok – West Nusa Tenggara</t>
  </si>
  <si>
    <t>Developing of Hazard Identification, Risk Assessment and Risk Control (HIRADC) for Paper Mill Process</t>
  </si>
  <si>
    <t>PT. Papertech Indonesia</t>
  </si>
  <si>
    <t>4 mandays</t>
  </si>
  <si>
    <t>November 2019 – Until Now</t>
  </si>
  <si>
    <t>Subang – West Java</t>
  </si>
  <si>
    <t>Developing and Consultation of Occupation safety and health management system based on PP No. 50/2012 for Sugar company</t>
  </si>
  <si>
    <t>PT. Angles Product</t>
  </si>
  <si>
    <t>16 mandays</t>
  </si>
  <si>
    <t>December 2019 – February 2020</t>
  </si>
  <si>
    <t>Cilegon – Banten</t>
  </si>
  <si>
    <t>Developing and Consultation of Occupation safety and health management system based on PP No. 50/2012 for Safety Instrumentation device product</t>
  </si>
  <si>
    <t>PT. Honeywell Indonesia</t>
  </si>
  <si>
    <t>February 2020 – Desember 2020</t>
  </si>
  <si>
    <t>Phase I – Environmental Site Assessment</t>
  </si>
  <si>
    <t>Paper Company audited by Environmental Resources Management (ERM)</t>
  </si>
  <si>
    <t>Karawang - Bekasi – West Java</t>
  </si>
  <si>
    <t>EHS Audit based on International Finance Corporation (IFC) standard</t>
  </si>
  <si>
    <t>Power Plant Company audited by Environmental Resources Management (ERM)</t>
  </si>
  <si>
    <t>Oil and Gas company audited by Environmental Resources Management (ERM)</t>
  </si>
  <si>
    <t>Bojonegoro – East Java</t>
  </si>
  <si>
    <t>Auditor in Occupation Health and Safety Management System (OSMS) based on Government Regulation No. 50/2012</t>
  </si>
  <si>
    <t>PT. Unicharm Factory I audited by PJK3 Alkon Indo Sejahtera</t>
  </si>
  <si>
    <t>2 mandays</t>
  </si>
  <si>
    <t>Karawang -  Bekasi – West Java</t>
  </si>
  <si>
    <t>Auditor in Occupational Health and Safety Management System (OSMS) based on Government Regulation No. 50/2012</t>
  </si>
  <si>
    <t>PT. Unicharm Factory II audited by PJK3 Alkon Indo Sejahtera</t>
  </si>
  <si>
    <t xml:space="preserve">Lead Auditor ISO 9001:2015 dan ISO 14001:2015 </t>
  </si>
  <si>
    <t>PT. PLN UIKSBU UPDK Pekanbaru</t>
  </si>
  <si>
    <t>Pekenbaru – ULPLTA Koto Panjang</t>
  </si>
  <si>
    <t>PT. Bayu Buana Gemilang (BBG) – Cikarang Site</t>
  </si>
  <si>
    <t>Cikarang – East Java</t>
  </si>
  <si>
    <t>PT. Wahana Abadi</t>
  </si>
  <si>
    <t>Tegal - Java</t>
  </si>
  <si>
    <t>Internal Auditor of Occupational Safety and Health management system based on ISO 45001:2018</t>
  </si>
  <si>
    <t>Bandung</t>
  </si>
  <si>
    <t>1 mandays</t>
  </si>
  <si>
    <t>Hour</t>
  </si>
  <si>
    <t>Day</t>
  </si>
  <si>
    <t>18, 19, 20 january 2021</t>
  </si>
  <si>
    <t>1 Februari 2021</t>
  </si>
  <si>
    <t>8, 9, 10 Februari 2021</t>
  </si>
  <si>
    <t>22 Februari 2021</t>
  </si>
  <si>
    <t>26 Februari 2021</t>
  </si>
  <si>
    <t>15-16 March 2021</t>
  </si>
  <si>
    <t>PT. PP Infrastruktur</t>
  </si>
  <si>
    <t>Gap analysis for Occupational Safety and Health Management System based on PP No. 50/2012</t>
  </si>
  <si>
    <t xml:space="preserve">Gap analysis for Occupational Safety and Health Management System based on PP No. 50/2012 </t>
  </si>
  <si>
    <t xml:space="preserve">PT. P&amp;G Indonesia </t>
  </si>
  <si>
    <t>Krawang – West Java</t>
  </si>
  <si>
    <t>25 - 26 May 2021</t>
  </si>
  <si>
    <t>14 - 17 June 2021</t>
  </si>
  <si>
    <t>28, 29, 30 June 2021</t>
  </si>
  <si>
    <t>8 June 2021</t>
  </si>
  <si>
    <t>9 June 2021</t>
  </si>
  <si>
    <t>June 2021</t>
  </si>
  <si>
    <t>PT. Royal Advanced Fiber</t>
  </si>
  <si>
    <t>Developing and Consultation of Occupation safety and health management system based on PP No. 50/2012 for Plantation division</t>
  </si>
  <si>
    <t>ADR Group (3 companies)</t>
  </si>
  <si>
    <t>May - July 2021</t>
  </si>
  <si>
    <t>PT. Thermochem Indonesia</t>
  </si>
  <si>
    <t>June - August 2021</t>
  </si>
  <si>
    <t>02,03,04 Agustus 2021</t>
  </si>
  <si>
    <t>23,24,25 Agustus 2021</t>
  </si>
  <si>
    <t>12, 14 Juli 2021</t>
  </si>
  <si>
    <t>13, 14, 15 September 2021</t>
  </si>
  <si>
    <t>11, 12, 13 Oktober 2021</t>
  </si>
  <si>
    <t>8, 9, 10 Nopember 2021</t>
  </si>
  <si>
    <t>1 Day</t>
  </si>
  <si>
    <t>12 Nopember 2021</t>
  </si>
  <si>
    <t>26 - 27 Oktober 2021</t>
  </si>
  <si>
    <t>CSMS - Risk Assessment</t>
  </si>
  <si>
    <t xml:space="preserve">PT. Indonesia Power </t>
  </si>
  <si>
    <t>0,5 mandays</t>
  </si>
  <si>
    <t>Nopember 2021</t>
  </si>
  <si>
    <t>2 Mandays</t>
  </si>
  <si>
    <t>7 - 8 Desember 2021</t>
  </si>
  <si>
    <t>29 &amp; 30 Nopember 2021</t>
  </si>
  <si>
    <t>27, 28, 29 Nopember 2021</t>
  </si>
  <si>
    <t>2 day</t>
  </si>
  <si>
    <t>15, 16 January 2022</t>
  </si>
  <si>
    <t>Internal Auditor in Occupational Health and Safety Management System (OSMS) based on Government Regulation No. 50/2012</t>
  </si>
  <si>
    <t>Internal Auditor in Occupation Health and Safety Management System (OSMS) pra-audit based on Government Regulation No. 50/2012</t>
  </si>
  <si>
    <t>Lead Auditor in Occupational Health and Safety Management System (OSMS) based on Government Regulation No. 50/2012</t>
  </si>
  <si>
    <t>Lead Auditor of Quality Management System based on ISO 9001:2015</t>
  </si>
  <si>
    <t>PT. Tunas Tasik</t>
  </si>
  <si>
    <t xml:space="preserve">Kick off meeting of Occupation safety and health management  system Development based on PP No. 50/2012 </t>
  </si>
  <si>
    <t>Developing and Consultation of Occupation safety and health management system based on PP No. 50/2012</t>
  </si>
  <si>
    <t>5 Mandays</t>
  </si>
  <si>
    <t>PT. Rolls Royce Solution Indonesia</t>
  </si>
  <si>
    <t>1 Manday</t>
  </si>
  <si>
    <t>(Kickoff Meeting) Developing and Consultation of QHSE Integrated Management System based on ISO 9001, ISO 14001 dan ISO 45001</t>
  </si>
  <si>
    <t>19 January 2022</t>
  </si>
  <si>
    <t>(GAP Analysis) Developing and Consultation of OHSMS based on Gevernment Regulation No. 50/2012 for Chemical Company</t>
  </si>
  <si>
    <t>(Document Review) Developing and Consultation of QHSE Integrated Management System based on ISO 9001, ISO 14001 dan ISO 45001</t>
  </si>
  <si>
    <t>27 January 2022</t>
  </si>
  <si>
    <t>Krawang</t>
  </si>
  <si>
    <t>07, 08 Maret 2022</t>
  </si>
  <si>
    <t>17 february 2022</t>
  </si>
  <si>
    <t>09 - 11 Ferbuary 2022</t>
  </si>
  <si>
    <t>Contractor Safety Management System as Assessor</t>
  </si>
  <si>
    <t>2 &amp; 4 Maret 2022</t>
  </si>
  <si>
    <t>PT. Tokki Engineering and Fabrication</t>
  </si>
  <si>
    <t>SMK3, GAP</t>
  </si>
  <si>
    <t>SMK3 awareness and HIRADC</t>
  </si>
  <si>
    <t>Phase I</t>
  </si>
  <si>
    <t>3 Manday</t>
  </si>
  <si>
    <t>HIRADC Step 1</t>
  </si>
  <si>
    <t>23 Juni 2022</t>
  </si>
  <si>
    <t>HIRADC Step 2</t>
  </si>
  <si>
    <t>15 Juli 2022</t>
  </si>
  <si>
    <t>HIRADC Step 3</t>
  </si>
  <si>
    <t>24 Juli 2022</t>
  </si>
  <si>
    <t xml:space="preserve">Konsultasi SMK3 </t>
  </si>
  <si>
    <t>11 Agustus 2022</t>
  </si>
  <si>
    <t>26 Agustus 2022</t>
  </si>
  <si>
    <t>15 Agustus 2022</t>
  </si>
  <si>
    <t>29 Agustus 2022</t>
  </si>
  <si>
    <t>PT. SKS Listrik Kalimatan</t>
  </si>
  <si>
    <t>12 Agustus 2022</t>
  </si>
  <si>
    <t>27 Agustus 2022</t>
  </si>
  <si>
    <t>0,5 day</t>
  </si>
  <si>
    <t>PT. SKS Listrik Kalimamtan</t>
  </si>
  <si>
    <t>GAP Analysis ISO 9001, ISO 14001 and ISO 45001</t>
  </si>
  <si>
    <t>Internal Audit ISO 14001, ISO 45001 &amp; SMK3 PP No. 50/2012</t>
  </si>
  <si>
    <t>8-9 July 2025</t>
  </si>
  <si>
    <t>2 Hours</t>
  </si>
  <si>
    <t xml:space="preserve">Jakarta </t>
  </si>
  <si>
    <t>2 Days</t>
  </si>
  <si>
    <t>Sukabumi</t>
  </si>
  <si>
    <t>GAP analysis ISO 9001 dan ISO 45001</t>
  </si>
  <si>
    <t>Cikarang</t>
  </si>
  <si>
    <t>Parung</t>
  </si>
  <si>
    <t>GAP Assessment ISO 9001, ISO 14001 &amp; ISO 45001</t>
  </si>
  <si>
    <t>Cirebon</t>
  </si>
  <si>
    <t>Internal Audit SMK3 PP No. 50/2012</t>
  </si>
  <si>
    <t>Karawang - Noah Tex</t>
  </si>
  <si>
    <t>Client</t>
  </si>
  <si>
    <t>Public</t>
  </si>
  <si>
    <t>PT. ERM Indonesia</t>
  </si>
  <si>
    <t>PT. INDOPORLEN REFRACTORIES</t>
  </si>
  <si>
    <t>PT. Mitra Dinamis Yang Utama</t>
  </si>
  <si>
    <t>PT. Personel Alih Daya, tbk (Persada)</t>
  </si>
  <si>
    <t>PT. Idemitsu Lube Techno Indonesia KIIC</t>
  </si>
  <si>
    <t>PT. Antam, tbk</t>
  </si>
  <si>
    <t>PT. Hoffmen Cleanindo, tbk</t>
  </si>
  <si>
    <t>PT. Bina Selamat Veritas</t>
  </si>
  <si>
    <t>PT. Sumber Mitra Jaya</t>
  </si>
  <si>
    <t>PT. Lima Prima Solusindo</t>
  </si>
  <si>
    <t>Lembaga Pelatihan</t>
  </si>
  <si>
    <t>Learning Centre Indonesia</t>
  </si>
  <si>
    <t>FKM Univet Bantara Sukoharjo</t>
  </si>
  <si>
    <t>PT. Geo Mandiri Kreasi</t>
  </si>
  <si>
    <t>PT. Formasi Sistem International</t>
  </si>
  <si>
    <t>PT. Pertamina Gas</t>
  </si>
  <si>
    <t>PT. Cipta Lentera Edukasi</t>
  </si>
  <si>
    <t xml:space="preserve">PT. Salzhu Sertifikasi Indonesia </t>
  </si>
  <si>
    <t>PT. Wika Pracetak Gedung</t>
  </si>
  <si>
    <t>PT. CDI Training &amp; Consulting</t>
  </si>
  <si>
    <t>PT. Telkom Akses</t>
  </si>
  <si>
    <t xml:space="preserve">PT. Pertamina </t>
  </si>
  <si>
    <t xml:space="preserve">PT. Bright Mobile Telecommunication </t>
  </si>
  <si>
    <t xml:space="preserve">PT. PP Infrastructure </t>
  </si>
  <si>
    <t>BSPJI - Kementrian Perindustrian</t>
  </si>
  <si>
    <t>PT. Astra Agro Lestari</t>
  </si>
  <si>
    <t xml:space="preserve">PT. Surya Safety Nusantara </t>
  </si>
  <si>
    <t>PT. SKS Listrik Kalimantan</t>
  </si>
  <si>
    <t>Safety Plus Consultant</t>
  </si>
  <si>
    <t>PT. Cogindo Daya Bersama</t>
  </si>
  <si>
    <t>PT. Visi Mahakarya Nusantara</t>
  </si>
  <si>
    <t>PT. Teknik Umum Sanko Engineering</t>
  </si>
  <si>
    <t>PT. Lotte Chemical Indonesia</t>
  </si>
  <si>
    <t>PT. Trimitra Katiga Indoutama</t>
  </si>
  <si>
    <t>PT. Laboratix Indonesia</t>
  </si>
  <si>
    <t>PT.TJForge Indonesia</t>
  </si>
  <si>
    <t>PT. Nishikawa Karya Indonesia</t>
  </si>
  <si>
    <t>PT. Mulia Aldana Indonesia</t>
  </si>
  <si>
    <t>PT. Naka Avia Sakti</t>
  </si>
  <si>
    <t>PT. Cipta Hasil Sugiarto</t>
  </si>
  <si>
    <t>PT. Tri Rejeki Abadi</t>
  </si>
  <si>
    <t>PT. Dwi Cahaya Jaya &amp; PT. Armada Angkutan Indonesia</t>
  </si>
  <si>
    <t>PT. IAS Support Indonesia</t>
  </si>
  <si>
    <t>PT Jasa Marga (Persero)</t>
  </si>
  <si>
    <t>PT. PLN Engineering</t>
  </si>
  <si>
    <t>PT. Autocomp Systems Indonesia</t>
  </si>
  <si>
    <t>PT MCPP Compound Indonesia</t>
  </si>
  <si>
    <t>PT Alam Energy Renewables</t>
  </si>
  <si>
    <t>Mei 2022</t>
  </si>
  <si>
    <t>Lembaga Konsultan</t>
  </si>
  <si>
    <t>PT. NSHE</t>
  </si>
  <si>
    <t>Delineation Project</t>
  </si>
  <si>
    <t>PT. Chevron Pacific Indonesia</t>
  </si>
  <si>
    <t>PT. Technoglass Duromer Internusa</t>
  </si>
  <si>
    <t>PT. Segoro Interkon</t>
  </si>
  <si>
    <t xml:space="preserve">Occupational Safety and Health sign observation at Stadium of Gelora Bung Karno </t>
  </si>
  <si>
    <t xml:space="preserve">Gelora Bung Karno </t>
  </si>
  <si>
    <t xml:space="preserve">PT. Buana Solusi Utama </t>
  </si>
  <si>
    <t>PT Rolls Royce Solutions Indonesia</t>
  </si>
  <si>
    <t>PT. SKS Listrik Indonesia</t>
  </si>
  <si>
    <t>PT. Armada Angkutan Indonesia</t>
  </si>
  <si>
    <t>PT. Dwi Cahaya Jaya</t>
  </si>
  <si>
    <t>PT. Tri Rejiki Abadi</t>
  </si>
  <si>
    <t>PT. Alam Energy Renewables</t>
  </si>
  <si>
    <t>PT. Tokki Engineering &amp; Fabrication</t>
  </si>
  <si>
    <t>PT. Teknik Umum Sanko Eng</t>
  </si>
  <si>
    <t>PT. Sarana Multigriya Finansial (Persero)</t>
  </si>
  <si>
    <t>Lembaga Audit</t>
  </si>
  <si>
    <t>PT. Alkon Indo Sertifikasi</t>
  </si>
  <si>
    <t>PT. Paling Utama Sertifikasi</t>
  </si>
  <si>
    <t>PT. Jurong Enginering Lestari</t>
  </si>
  <si>
    <t>PT. Prima Berkat Gemilang</t>
  </si>
  <si>
    <t>PT. TSI Sertifikasi Indon</t>
  </si>
  <si>
    <t>PT. Mitra Satu Rupa (MSR)</t>
  </si>
  <si>
    <t>PDAM Balikpapan</t>
  </si>
  <si>
    <t>PT. Utac Manufacturing Services Indonesia</t>
  </si>
  <si>
    <t>Perumda Tirta Kahuripan</t>
  </si>
  <si>
    <t>PT. Mutu Indonesia Gemilang Global</t>
  </si>
  <si>
    <t>GAP Assessment</t>
  </si>
  <si>
    <t>PT. Henkel Footwear and Speciality Adhesives</t>
  </si>
  <si>
    <t>PT. PPG Coatings Indonesia</t>
  </si>
  <si>
    <t>PT. Kino Indonesia, tbk</t>
  </si>
  <si>
    <t>PT. Foodex Inti Ingredients</t>
  </si>
  <si>
    <t>PT. Mitra Sistematika Global (MSG)</t>
  </si>
  <si>
    <t>PT. Chikal Railway Indonesia</t>
  </si>
  <si>
    <t>PT. Subang Autocomp Indonesia</t>
  </si>
  <si>
    <t>PT. Kurnia Mitra Selaras</t>
  </si>
  <si>
    <t>PT. Sumi Indo Kabel</t>
  </si>
  <si>
    <t>PT. Ajinomoto Indonesia</t>
  </si>
  <si>
    <t>PT. Fastindo Jaya Abadi</t>
  </si>
  <si>
    <t>PT. Arkademi</t>
  </si>
  <si>
    <t>Jl. Raya Cipacing, Kp Bojong No.Km. 20, Cipacing, Kec. Jatinangor, Kabupaten Sumedang, Jawa Barat 45363</t>
  </si>
  <si>
    <t>Jl. Setia Mekar No.47, Setiamekar, Kec. Tambun Sel., Kabupaten Bekasi, Jawa Barat 17510</t>
  </si>
  <si>
    <t>Jl. Diponegoro No.11, Langkai, Kec. Pahandut, Kota Palangka Raya, Kalimantan Tengah 74874</t>
  </si>
  <si>
    <t>Jl. Mulawarman No.123, Karang Anyar Pantai, Kec. Tarakan Bar., Kota Tarakan, Kalimantan Utara</t>
  </si>
  <si>
    <t>Tim., Tamalate, Kec. Kota Tim., Kota Gorontalo, Gorontalo 96135</t>
  </si>
  <si>
    <t>Jl. Sam Ratulangi No.23, Besusu Bar., Kec. Palu Tim., Kota Palu, Sulawesi Tengah 94118</t>
  </si>
  <si>
    <t>Jl. Letda Tantular No.4, Dangin Puri Klod, Kec. Denpasar Tim., Kota Denpasar, Bali 80234</t>
  </si>
  <si>
    <t>Jl. Pejanggik No.2, Mataram Bar., Kec. Selaparang, Kota Mataram, Nusa Tenggara Bar. 83122</t>
  </si>
  <si>
    <t>Jl. Yos Sudarso No.1, Maliaro, Kec. Ternate Tengah, Kota Ternate, Maluku Utara</t>
  </si>
  <si>
    <t>Jl. Yogyakarta No.1, Manokwari Tim., Kec. Manokwari Bar., Kabupaten Manokwari, Papua Bar. 98312</t>
  </si>
  <si>
    <t>Grha Simatupang, TB Simatupang Kav. 38, Pasar Minggu, Jakarta Selatan</t>
  </si>
  <si>
    <t>Jl. Inspeksi Kalimalang No.KM.22, Cibuntu, Kec. Cibitung, Kabupaten Bekasi, Jawa Barat 17520</t>
  </si>
  <si>
    <t>Wisma Presisi, Jl. Taman Aries, RT.5/RW.2, Meruya Utara, Kec. Kembangan, Kota Jakarta Barat, Daerah Khusus Ibukota Jakarta 11620</t>
  </si>
  <si>
    <t>Metode</t>
  </si>
  <si>
    <t>Onsite</t>
  </si>
  <si>
    <t>Online</t>
  </si>
  <si>
    <t>Menara MTH, MT Haryono St No.Kav 23 lantai 15, RT.10/RW.9, West Tebet, Tebet, South Jakarta City, Jakarta 12810</t>
  </si>
  <si>
    <t>MT Haryono St, RT.2/RW.2, Pancoran, South Jakarta City, Jakarta 12780</t>
  </si>
  <si>
    <t>Jl. I Gusti Ngurah Rai No.9 10, RT.10/RW.11, Pd. Kopi, Kec. Duren Sawit, Kota Jakarta Timur, Daerah Khusus Ibukota Jakarta 13460</t>
  </si>
  <si>
    <t>Tumbang Kajuei, Rungan, Gunung MAS Regency, Central Kalimantan 74562</t>
  </si>
  <si>
    <t>Jalan Raya Subang KM. 22, RT 09 / RW 03 Wantilan Cipeundeuy, Wantilan, Subang, Kabupaten Subang, Jawa Barat 41272</t>
  </si>
  <si>
    <t>Jl. Raya Pasar Minggu No.190, RT.1/RW.1, Pejaten Bar., Ps. Minggu, Kota Jakarta Selatan, Daerah Khusus Ibukota Jakarta 12510</t>
  </si>
  <si>
    <t>PT. Arkatama Safetindo</t>
  </si>
  <si>
    <t>18, 19 June 2026</t>
  </si>
  <si>
    <t>PT XANHSM Green and Smart Mobility Indonesia (GSM Indonesia)</t>
  </si>
  <si>
    <t>Webinar: Risk Management based on OHS Persepective</t>
  </si>
  <si>
    <t>Webinar: Internal Audit HSE Management System</t>
  </si>
  <si>
    <t>Webinar: Basic Risk Management</t>
  </si>
  <si>
    <t>Webinar: Incident Investigation Awareness</t>
  </si>
  <si>
    <t>Webinar: OHS Risk &amp; Opportunity based on ISO 45001:2018</t>
  </si>
  <si>
    <t>Webinar: Occupational Safety and Health Management system based on Government regulation No. 50/2012</t>
  </si>
  <si>
    <t>Webinar: ISO 9001:2015 Awareness</t>
  </si>
  <si>
    <t>Webinar: Occupational Safety and Health management System Based on PP No. 50/2012</t>
  </si>
  <si>
    <t>Ahli K3 Muda Sertifikasi BNSP</t>
  </si>
  <si>
    <t>Webinar: Sistem Manajemen K3 berbadasarkan ISO 45001:2018</t>
  </si>
  <si>
    <t>Ahli K3 Umum Sertifikasi BNSP</t>
  </si>
  <si>
    <t>Ahli K3 Umum dan Ahli K3 Muda Sertifikasi BNSP</t>
  </si>
  <si>
    <t>Ahli K3 Muda &amp; Operator K3 Sertifikasi BNSP</t>
  </si>
  <si>
    <t>Ahli K3 Umum dan Operator K3 Sertifikasi BNSP</t>
  </si>
  <si>
    <t>Investigasi Insiden Sertifikasi BNSP</t>
  </si>
  <si>
    <t>Webinar: Strategy and Awareness with best practice</t>
  </si>
  <si>
    <t>Manajemen Risiko K3 dan Analisa Kecelakaan - Ahli K3 Umum Sertifikasi Kemnaker</t>
  </si>
  <si>
    <t>Manajemen Risiko K3 melalui Proses Identifikasi Bahaya, Penilaian Risiko dan Penentuan Pengendaliannya (HIRADC)</t>
  </si>
  <si>
    <t>Sistem Manajemen Mutu ISO 9001:2015, Sistem Manajemen Lingkungan ISO 14001:2015 dan Sistem Manajemen K3 ISO 45001:2018 dan Integrasinya</t>
  </si>
  <si>
    <t>PT. PLN Indonesia Power Services</t>
  </si>
  <si>
    <t>2 Day</t>
  </si>
  <si>
    <t>6 October 202 - 7 October 2025</t>
  </si>
  <si>
    <t xml:space="preserve">Sistem Manejemen Mutu ISO 9001:2015 </t>
  </si>
  <si>
    <t>Sistem Manajemen Lingkungan ISO 14001:2015</t>
  </si>
  <si>
    <t>Sistem Manajemen K3 ISO 45001:2018</t>
  </si>
  <si>
    <t>Pemahaman Proses Audit berbasis ISO 19011:2018 untuk Internal Auditor</t>
  </si>
  <si>
    <t xml:space="preserve">Sistem Manajemen K3 ISO 45001:2018 </t>
  </si>
  <si>
    <t>Internal Audit SMK3 berdasarakan PP No. 50 Tahun 2012 dan Permenaker No. 26 Tahun 2014</t>
  </si>
  <si>
    <t>Pengelolaan Limbah Bahan Berbahaya Dan Beracun (Hazardous Waste Management)</t>
  </si>
  <si>
    <t>Dasar-Dasar K3 (Basic Safety Training)</t>
  </si>
  <si>
    <t>Penanganan Bahan Kimia Berbahaya (Chemical Handling) &amp; Pengelolaan Limbah Bahan Berbahaya Dan Beracun (Hazardous Waste Management)</t>
  </si>
  <si>
    <t>Kebijakan K3 dan UU No. 1 Tahun 1970 - Ahli K3 Umum Sertifikasi Kemnaker</t>
  </si>
  <si>
    <t>Kelembagaan K3 - Ahli K3 Umum Sertifikasi Kemnaker</t>
  </si>
  <si>
    <t>Sistem Manajemen Mutu, Sistem Manajemen Lingkungan dan Sistem Manajemen K3 (QHSE)</t>
  </si>
  <si>
    <t>Sistem Manajemen K3 PP No. 50 Tahun 2012 dan Audit SMK3 Permenaker No. 26 Tahun 2014 - Ahli K3 Umum Sertifikasi Kemnaker</t>
  </si>
  <si>
    <t xml:space="preserve">Sistem Manajemen K3 PP No. 50 Tahun 2012 </t>
  </si>
  <si>
    <t>Sistem Manajemen K3 PP No. 50 Tahun 2012 dan Pembahasan 166 Kriteria</t>
  </si>
  <si>
    <t>1 days</t>
  </si>
  <si>
    <t>Sistem Manajemen K3 PP No. 50 Tahun 2012 dan Pembahasan 64 Kriteria</t>
  </si>
  <si>
    <t>Sistem Manajemen K3 PP No. 50 Tahun 2012 dan Pembahasan 64 Kriteria dan Manajemen Risiko K3 melalui proses Identifikasi Bahaya, Penilaian Risiko dan Penentuan Pengendalian (HIRADC)</t>
  </si>
  <si>
    <t>Sistem Manajemen K3 PP No. 50 Tahun 2012 dan Pembahasan 122 Kriteria</t>
  </si>
  <si>
    <t>Audit SMK3 PP No. 50 Tahun 2012 untuk Auditor Internal</t>
  </si>
  <si>
    <t>Manajemen Risiko K3 melalui proses Identifikasi Bahaya, Penilaian Risiko dan Penentuan Pengendalian (HIRADC)</t>
  </si>
  <si>
    <t>Internal Audit SMK3 berdasarakan PP No. 50 Tahun 2012 dan Permenaker No. 26 Tahun 2014 serta Pembahasan 166 Kriteria</t>
  </si>
  <si>
    <t>Konsultasi dan Sertifikasi Sistem Manajemen Mutu berbasis ISO 9001:2015</t>
  </si>
  <si>
    <t>PT. Swarna Baja Pacific</t>
  </si>
  <si>
    <t>Asli Living</t>
  </si>
  <si>
    <t>24, 25,26 Februari 2026</t>
  </si>
  <si>
    <t>PT. Alva Mitra Sertama</t>
  </si>
  <si>
    <t>Palang Merah Indonesia Kota Bekasi</t>
  </si>
  <si>
    <t>Pemahaman Manajemen Risiko K3 melalui proses Identifikasi Bahaya, Penilaian Dan Penentuan Pengendalian (HIRADC)</t>
  </si>
  <si>
    <t>PT. Sarana Multigriya Finansial</t>
  </si>
  <si>
    <t>PT. Tehnik Bayu Murni</t>
  </si>
  <si>
    <t>PT. EDS Manufacturing Indonesia</t>
  </si>
  <si>
    <t>PT. Fokus Manajemen Indonesia Tim</t>
  </si>
  <si>
    <t>Badan Usaha Pelabuhan Batam</t>
  </si>
  <si>
    <t>Pemahaman Dasar-dasar Keselamatan dan Kesehatan Kerja dan Lingkungan (K3L)</t>
  </si>
  <si>
    <t>PT. Jagat Raya Technindo</t>
  </si>
  <si>
    <t>PT. Unilever Indonesia (Head Office)</t>
  </si>
  <si>
    <t>PT. Unilever Indonesia - Savoury Factory</t>
  </si>
  <si>
    <t>Tangerang</t>
  </si>
  <si>
    <t>PT. Unilever Indonesia - Tea Based Baverages</t>
  </si>
  <si>
    <t>1/2 day</t>
  </si>
  <si>
    <t>PT. Krakatau Posco Dongsuh Chemical (KPDC)</t>
  </si>
  <si>
    <t>PT. Surya Safety Nusantara</t>
  </si>
  <si>
    <t>5 manday</t>
  </si>
  <si>
    <t>PT. Gunung Putri Perkasa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</si>
</sst>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Calibri Light"/>
      <family val="2"/>
    </font>
    <font>
      <b/>
      <sz val="10"/>
      <color rgb="FF000000"/>
      <name val="Calibri Light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DB3E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17" fontId="1" fillId="0" borderId="4" xfId="0" applyNumberFormat="1" applyFont="1" applyBorder="1" applyAlignment="1">
      <alignment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17" fontId="1" fillId="0" borderId="4" xfId="0" applyNumberFormat="1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justify" vertical="center" wrapText="1"/>
    </xf>
    <xf numFmtId="0" fontId="3" fillId="0" borderId="0" xfId="0" applyFont="1"/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17" fontId="1" fillId="0" borderId="3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0" borderId="4" xfId="0" applyFont="1" applyBorder="1" applyAlignment="1">
      <alignment vertical="top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justify" vertical="center" wrapText="1"/>
    </xf>
    <xf numFmtId="17" fontId="1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17" fontId="1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top" wrapText="1"/>
    </xf>
    <xf numFmtId="164" fontId="2" fillId="2" borderId="5" xfId="0" applyNumberFormat="1" applyFont="1" applyFill="1" applyBorder="1" applyAlignment="1">
      <alignment horizontal="center" vertical="center" wrapText="1"/>
    </xf>
    <xf numFmtId="164" fontId="1" fillId="0" borderId="5" xfId="0" applyNumberFormat="1" applyFont="1" applyBorder="1" applyAlignment="1">
      <alignment vertical="center" wrapText="1"/>
    </xf>
    <xf numFmtId="164" fontId="1" fillId="0" borderId="5" xfId="0" applyNumberFormat="1" applyFont="1" applyBorder="1" applyAlignment="1">
      <alignment horizontal="right" vertical="center" wrapText="1"/>
    </xf>
    <xf numFmtId="164" fontId="1" fillId="0" borderId="0" xfId="0" applyNumberFormat="1" applyFont="1" applyAlignment="1">
      <alignment horizontal="right" vertical="center" wrapText="1"/>
    </xf>
    <xf numFmtId="164" fontId="0" fillId="0" borderId="0" xfId="0" applyNumberFormat="1"/>
    <xf numFmtId="0" fontId="1" fillId="3" borderId="5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top" wrapText="1"/>
    </xf>
    <xf numFmtId="164" fontId="1" fillId="0" borderId="4" xfId="0" applyNumberFormat="1" applyFont="1" applyBorder="1" applyAlignment="1">
      <alignment horizontal="left" vertical="center" wrapText="1"/>
    </xf>
    <xf numFmtId="0" fontId="1" fillId="0" borderId="4" xfId="0" applyFont="1" applyBorder="1" applyAlignment="1">
      <alignment horizontal="justify"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6891e6b-32d9-4cf8-85a1-e5efc33eb83f}">
  <we:reference id="WA200009404" version="1.0.0.8" store="en-US" storeType="OMEX"/>
  <we:alternateReferences/>
  <we:properties>
    <we:property name="Microsoft.Office.CampaignId" value="&quot;none&quot;"/>
    <we:property name="claude.fileId" value="&quot;d1ba183d-f77c-4d51-aa97-a77ce9a3094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8E77F-D1B6-4F03-BF37-3B83F55EBEC0}">
  <dimension ref="A1:J224"/>
  <sheetViews>
    <sheetView zoomScale="150" zoomScaleNormal="158" workbookViewId="0">
      <pane ySplit="1" topLeftCell="A210" activePane="bottomLeft" state="frozen"/>
      <selection pane="bottomLeft" activeCell="A215" sqref="A215"/>
    </sheetView>
  </sheetViews>
  <sheetFormatPr baseColWidth="10" defaultColWidth="8.83203125" defaultRowHeight="15" x14ac:dyDescent="0.2"/>
  <cols>
    <col min="1" max="1" width="4.83203125" style="17" customWidth="1"/>
    <col min="2" max="2" width="30.6640625" customWidth="1"/>
    <col min="3" max="3" width="22.6640625" customWidth="1"/>
    <col min="4" max="4" width="28.1640625" bestFit="1" customWidth="1"/>
    <col min="5" max="6" width="10.33203125" customWidth="1"/>
    <col min="7" max="7" width="25.83203125" style="42" customWidth="1"/>
    <col min="8" max="8" width="39.83203125" hidden="1" customWidth="1"/>
  </cols>
  <sheetData>
    <row r="1" spans="1:10" x14ac:dyDescent="0.2">
      <c r="A1" s="32" t="s">
        <v>6</v>
      </c>
      <c r="B1" s="32" t="s">
        <v>7</v>
      </c>
      <c r="C1" s="32" t="s">
        <v>187</v>
      </c>
      <c r="D1" s="32" t="s">
        <v>175</v>
      </c>
      <c r="E1" s="32" t="s">
        <v>0</v>
      </c>
      <c r="F1" s="32" t="s">
        <v>281</v>
      </c>
      <c r="G1" s="38" t="s">
        <v>9</v>
      </c>
      <c r="H1" s="32" t="s">
        <v>10</v>
      </c>
      <c r="I1" s="22" t="s">
        <v>76</v>
      </c>
      <c r="J1" s="22" t="s">
        <v>75</v>
      </c>
    </row>
    <row r="2" spans="1:10" ht="45" x14ac:dyDescent="0.2">
      <c r="A2" s="33">
        <v>1</v>
      </c>
      <c r="B2" s="34" t="s">
        <v>309</v>
      </c>
      <c r="C2" s="34" t="s">
        <v>179</v>
      </c>
      <c r="D2" s="34" t="s">
        <v>176</v>
      </c>
      <c r="E2" s="35" t="s">
        <v>1</v>
      </c>
      <c r="F2" s="35" t="s">
        <v>282</v>
      </c>
      <c r="G2" s="39">
        <v>42948</v>
      </c>
      <c r="H2" s="34" t="s">
        <v>280</v>
      </c>
      <c r="I2">
        <v>1</v>
      </c>
      <c r="J2">
        <f>I2*8</f>
        <v>8</v>
      </c>
    </row>
    <row r="3" spans="1:10" ht="30" x14ac:dyDescent="0.2">
      <c r="A3" s="33">
        <f>A2+1</f>
        <v>2</v>
      </c>
      <c r="B3" s="34" t="s">
        <v>12</v>
      </c>
      <c r="C3" s="34" t="s">
        <v>177</v>
      </c>
      <c r="D3" s="34" t="s">
        <v>178</v>
      </c>
      <c r="E3" s="35" t="s">
        <v>1</v>
      </c>
      <c r="F3" s="35" t="s">
        <v>282</v>
      </c>
      <c r="G3" s="39">
        <v>43009</v>
      </c>
      <c r="H3" s="34" t="s">
        <v>269</v>
      </c>
      <c r="I3">
        <v>1</v>
      </c>
      <c r="J3">
        <f t="shared" ref="J3:J41" si="0">I3*8</f>
        <v>8</v>
      </c>
    </row>
    <row r="4" spans="1:10" ht="45" x14ac:dyDescent="0.2">
      <c r="A4" s="33">
        <f t="shared" ref="A4:A67" si="1">A3+1</f>
        <v>3</v>
      </c>
      <c r="B4" s="34" t="s">
        <v>301</v>
      </c>
      <c r="C4" s="34" t="s">
        <v>179</v>
      </c>
      <c r="D4" s="34" t="s">
        <v>176</v>
      </c>
      <c r="E4" s="35" t="s">
        <v>2</v>
      </c>
      <c r="F4" s="35" t="s">
        <v>282</v>
      </c>
      <c r="G4" s="39">
        <v>43405</v>
      </c>
      <c r="H4" s="34" t="s">
        <v>280</v>
      </c>
      <c r="I4">
        <v>3</v>
      </c>
      <c r="J4">
        <f t="shared" si="0"/>
        <v>24</v>
      </c>
    </row>
    <row r="5" spans="1:10" ht="45" x14ac:dyDescent="0.2">
      <c r="A5" s="33">
        <f t="shared" si="1"/>
        <v>4</v>
      </c>
      <c r="B5" s="34" t="s">
        <v>309</v>
      </c>
      <c r="C5" s="34" t="s">
        <v>179</v>
      </c>
      <c r="D5" s="34" t="s">
        <v>176</v>
      </c>
      <c r="E5" s="35" t="s">
        <v>1</v>
      </c>
      <c r="F5" s="35" t="s">
        <v>282</v>
      </c>
      <c r="G5" s="39">
        <v>43405</v>
      </c>
      <c r="H5" s="34" t="s">
        <v>280</v>
      </c>
      <c r="I5">
        <v>1</v>
      </c>
      <c r="J5">
        <f t="shared" si="0"/>
        <v>8</v>
      </c>
    </row>
    <row r="6" spans="1:10" ht="45" x14ac:dyDescent="0.2">
      <c r="A6" s="33">
        <f t="shared" si="1"/>
        <v>5</v>
      </c>
      <c r="B6" s="34" t="s">
        <v>301</v>
      </c>
      <c r="C6" s="34" t="s">
        <v>179</v>
      </c>
      <c r="D6" s="34" t="s">
        <v>176</v>
      </c>
      <c r="E6" s="35" t="s">
        <v>2</v>
      </c>
      <c r="F6" s="35" t="s">
        <v>282</v>
      </c>
      <c r="G6" s="39">
        <v>43435</v>
      </c>
      <c r="H6" s="34" t="s">
        <v>280</v>
      </c>
      <c r="I6">
        <v>3</v>
      </c>
      <c r="J6">
        <f t="shared" si="0"/>
        <v>24</v>
      </c>
    </row>
    <row r="7" spans="1:10" ht="45" x14ac:dyDescent="0.2">
      <c r="A7" s="33">
        <f t="shared" si="1"/>
        <v>6</v>
      </c>
      <c r="B7" s="34" t="s">
        <v>309</v>
      </c>
      <c r="C7" s="34" t="s">
        <v>179</v>
      </c>
      <c r="D7" s="34" t="s">
        <v>176</v>
      </c>
      <c r="E7" s="35" t="s">
        <v>1</v>
      </c>
      <c r="F7" s="35" t="s">
        <v>282</v>
      </c>
      <c r="G7" s="39">
        <v>43435</v>
      </c>
      <c r="H7" s="34" t="s">
        <v>280</v>
      </c>
      <c r="I7">
        <v>1</v>
      </c>
      <c r="J7">
        <f t="shared" si="0"/>
        <v>8</v>
      </c>
    </row>
    <row r="8" spans="1:10" ht="45" x14ac:dyDescent="0.2">
      <c r="A8" s="33">
        <f t="shared" si="1"/>
        <v>7</v>
      </c>
      <c r="B8" s="34" t="s">
        <v>301</v>
      </c>
      <c r="C8" s="34" t="s">
        <v>179</v>
      </c>
      <c r="D8" s="34" t="s">
        <v>176</v>
      </c>
      <c r="E8" s="35" t="s">
        <v>2</v>
      </c>
      <c r="F8" s="35" t="s">
        <v>282</v>
      </c>
      <c r="G8" s="39">
        <v>43466</v>
      </c>
      <c r="H8" s="34" t="s">
        <v>280</v>
      </c>
      <c r="I8">
        <v>3</v>
      </c>
      <c r="J8">
        <f t="shared" si="0"/>
        <v>24</v>
      </c>
    </row>
    <row r="9" spans="1:10" ht="45" x14ac:dyDescent="0.2">
      <c r="A9" s="33">
        <f t="shared" si="1"/>
        <v>8</v>
      </c>
      <c r="B9" s="34" t="s">
        <v>309</v>
      </c>
      <c r="C9" s="34" t="s">
        <v>179</v>
      </c>
      <c r="D9" s="34" t="s">
        <v>176</v>
      </c>
      <c r="E9" s="35" t="s">
        <v>1</v>
      </c>
      <c r="F9" s="35" t="s">
        <v>282</v>
      </c>
      <c r="G9" s="39">
        <v>43466</v>
      </c>
      <c r="H9" s="34" t="s">
        <v>280</v>
      </c>
      <c r="I9">
        <v>1</v>
      </c>
      <c r="J9">
        <f t="shared" si="0"/>
        <v>8</v>
      </c>
    </row>
    <row r="10" spans="1:10" ht="45" x14ac:dyDescent="0.2">
      <c r="A10" s="33">
        <f t="shared" si="1"/>
        <v>9</v>
      </c>
      <c r="B10" s="34" t="s">
        <v>321</v>
      </c>
      <c r="C10" s="34" t="s">
        <v>15</v>
      </c>
      <c r="D10" s="34" t="s">
        <v>176</v>
      </c>
      <c r="E10" s="35" t="s">
        <v>3</v>
      </c>
      <c r="F10" s="35" t="s">
        <v>282</v>
      </c>
      <c r="G10" s="39">
        <v>43497</v>
      </c>
      <c r="H10" s="34" t="s">
        <v>280</v>
      </c>
      <c r="I10">
        <v>2</v>
      </c>
      <c r="J10">
        <f>I10*8</f>
        <v>16</v>
      </c>
    </row>
    <row r="11" spans="1:10" ht="30" x14ac:dyDescent="0.2">
      <c r="A11" s="33">
        <f t="shared" si="1"/>
        <v>10</v>
      </c>
      <c r="B11" s="34" t="s">
        <v>14</v>
      </c>
      <c r="C11" s="34" t="s">
        <v>15</v>
      </c>
      <c r="D11" s="34" t="s">
        <v>180</v>
      </c>
      <c r="E11" s="35" t="s">
        <v>1</v>
      </c>
      <c r="F11" s="35" t="s">
        <v>282</v>
      </c>
      <c r="G11" s="39">
        <v>43525</v>
      </c>
      <c r="H11" s="34" t="s">
        <v>270</v>
      </c>
      <c r="I11">
        <v>1</v>
      </c>
      <c r="J11">
        <f t="shared" si="0"/>
        <v>8</v>
      </c>
    </row>
    <row r="12" spans="1:10" ht="30" x14ac:dyDescent="0.2">
      <c r="A12" s="33">
        <f t="shared" si="1"/>
        <v>11</v>
      </c>
      <c r="B12" s="34" t="s">
        <v>14</v>
      </c>
      <c r="C12" s="34" t="s">
        <v>15</v>
      </c>
      <c r="D12" s="34" t="s">
        <v>180</v>
      </c>
      <c r="E12" s="35" t="s">
        <v>1</v>
      </c>
      <c r="F12" s="35" t="s">
        <v>282</v>
      </c>
      <c r="G12" s="39">
        <v>43525</v>
      </c>
      <c r="H12" s="34" t="s">
        <v>271</v>
      </c>
      <c r="I12">
        <v>1</v>
      </c>
      <c r="J12">
        <f t="shared" si="0"/>
        <v>8</v>
      </c>
    </row>
    <row r="13" spans="1:10" ht="30" x14ac:dyDescent="0.2">
      <c r="A13" s="33">
        <f t="shared" si="1"/>
        <v>12</v>
      </c>
      <c r="B13" s="34" t="s">
        <v>14</v>
      </c>
      <c r="C13" s="34" t="s">
        <v>15</v>
      </c>
      <c r="D13" s="34" t="s">
        <v>180</v>
      </c>
      <c r="E13" s="35" t="s">
        <v>1</v>
      </c>
      <c r="F13" s="35" t="s">
        <v>282</v>
      </c>
      <c r="G13" s="39">
        <v>43525</v>
      </c>
      <c r="H13" s="34" t="s">
        <v>272</v>
      </c>
      <c r="I13">
        <v>1</v>
      </c>
      <c r="J13">
        <f t="shared" si="0"/>
        <v>8</v>
      </c>
    </row>
    <row r="14" spans="1:10" ht="30" x14ac:dyDescent="0.2">
      <c r="A14" s="33">
        <f t="shared" si="1"/>
        <v>13</v>
      </c>
      <c r="B14" s="34" t="s">
        <v>14</v>
      </c>
      <c r="C14" s="34" t="s">
        <v>15</v>
      </c>
      <c r="D14" s="34" t="s">
        <v>180</v>
      </c>
      <c r="E14" s="35" t="s">
        <v>1</v>
      </c>
      <c r="F14" s="35" t="s">
        <v>282</v>
      </c>
      <c r="G14" s="39">
        <v>43525</v>
      </c>
      <c r="H14" s="34" t="s">
        <v>273</v>
      </c>
      <c r="I14">
        <v>1</v>
      </c>
      <c r="J14">
        <f t="shared" si="0"/>
        <v>8</v>
      </c>
    </row>
    <row r="15" spans="1:10" ht="30" x14ac:dyDescent="0.2">
      <c r="A15" s="33">
        <f t="shared" si="1"/>
        <v>14</v>
      </c>
      <c r="B15" s="34" t="s">
        <v>14</v>
      </c>
      <c r="C15" s="34" t="s">
        <v>15</v>
      </c>
      <c r="D15" s="34" t="s">
        <v>180</v>
      </c>
      <c r="E15" s="35" t="s">
        <v>1</v>
      </c>
      <c r="F15" s="35" t="s">
        <v>282</v>
      </c>
      <c r="G15" s="39">
        <v>43525</v>
      </c>
      <c r="H15" s="34" t="s">
        <v>274</v>
      </c>
      <c r="I15">
        <v>1</v>
      </c>
      <c r="J15">
        <f t="shared" si="0"/>
        <v>8</v>
      </c>
    </row>
    <row r="16" spans="1:10" ht="30" x14ac:dyDescent="0.2">
      <c r="A16" s="33">
        <f t="shared" si="1"/>
        <v>15</v>
      </c>
      <c r="B16" s="34" t="s">
        <v>14</v>
      </c>
      <c r="C16" s="34" t="s">
        <v>15</v>
      </c>
      <c r="D16" s="34" t="s">
        <v>180</v>
      </c>
      <c r="E16" s="35" t="s">
        <v>1</v>
      </c>
      <c r="F16" s="35" t="s">
        <v>282</v>
      </c>
      <c r="G16" s="39">
        <v>43525</v>
      </c>
      <c r="H16" s="34" t="s">
        <v>275</v>
      </c>
      <c r="I16">
        <v>1</v>
      </c>
      <c r="J16">
        <f t="shared" si="0"/>
        <v>8</v>
      </c>
    </row>
    <row r="17" spans="1:10" ht="30" x14ac:dyDescent="0.2">
      <c r="A17" s="33">
        <f t="shared" si="1"/>
        <v>16</v>
      </c>
      <c r="B17" s="34" t="s">
        <v>14</v>
      </c>
      <c r="C17" s="34" t="s">
        <v>15</v>
      </c>
      <c r="D17" s="34" t="s">
        <v>180</v>
      </c>
      <c r="E17" s="35" t="s">
        <v>1</v>
      </c>
      <c r="F17" s="35" t="s">
        <v>282</v>
      </c>
      <c r="G17" s="39">
        <v>43556</v>
      </c>
      <c r="H17" s="34" t="s">
        <v>276</v>
      </c>
      <c r="I17">
        <v>1</v>
      </c>
      <c r="J17">
        <f t="shared" si="0"/>
        <v>8</v>
      </c>
    </row>
    <row r="18" spans="1:10" ht="30" x14ac:dyDescent="0.2">
      <c r="A18" s="33">
        <f t="shared" si="1"/>
        <v>17</v>
      </c>
      <c r="B18" s="34" t="s">
        <v>14</v>
      </c>
      <c r="C18" s="34" t="s">
        <v>15</v>
      </c>
      <c r="D18" s="34" t="s">
        <v>180</v>
      </c>
      <c r="E18" s="35" t="s">
        <v>1</v>
      </c>
      <c r="F18" s="35" t="s">
        <v>282</v>
      </c>
      <c r="G18" s="39">
        <v>43556</v>
      </c>
      <c r="H18" s="34" t="s">
        <v>277</v>
      </c>
      <c r="I18">
        <v>1</v>
      </c>
      <c r="J18">
        <f t="shared" si="0"/>
        <v>8</v>
      </c>
    </row>
    <row r="19" spans="1:10" x14ac:dyDescent="0.2">
      <c r="A19" s="33">
        <f t="shared" si="1"/>
        <v>18</v>
      </c>
      <c r="B19" s="34" t="s">
        <v>301</v>
      </c>
      <c r="C19" s="34" t="s">
        <v>179</v>
      </c>
      <c r="D19" s="34" t="s">
        <v>176</v>
      </c>
      <c r="E19" s="35" t="s">
        <v>2</v>
      </c>
      <c r="F19" s="35" t="s">
        <v>282</v>
      </c>
      <c r="G19" s="39">
        <v>43586</v>
      </c>
      <c r="H19" s="34" t="s">
        <v>11</v>
      </c>
      <c r="I19">
        <v>3</v>
      </c>
      <c r="J19">
        <f t="shared" si="0"/>
        <v>24</v>
      </c>
    </row>
    <row r="20" spans="1:10" ht="30" x14ac:dyDescent="0.2">
      <c r="A20" s="33">
        <f t="shared" si="1"/>
        <v>19</v>
      </c>
      <c r="B20" s="34" t="s">
        <v>316</v>
      </c>
      <c r="C20" s="34" t="s">
        <v>15</v>
      </c>
      <c r="D20" s="34" t="s">
        <v>181</v>
      </c>
      <c r="E20" s="35" t="s">
        <v>3</v>
      </c>
      <c r="F20" s="35" t="s">
        <v>282</v>
      </c>
      <c r="G20" s="39">
        <v>43556</v>
      </c>
      <c r="H20" s="34" t="s">
        <v>278</v>
      </c>
      <c r="I20">
        <v>2</v>
      </c>
      <c r="J20">
        <f t="shared" si="0"/>
        <v>16</v>
      </c>
    </row>
    <row r="21" spans="1:10" ht="60" x14ac:dyDescent="0.2">
      <c r="A21" s="33">
        <f t="shared" si="1"/>
        <v>20</v>
      </c>
      <c r="B21" s="34" t="s">
        <v>327</v>
      </c>
      <c r="C21" s="34" t="s">
        <v>15</v>
      </c>
      <c r="D21" s="34" t="s">
        <v>16</v>
      </c>
      <c r="E21" s="35" t="s">
        <v>1</v>
      </c>
      <c r="F21" s="35" t="s">
        <v>282</v>
      </c>
      <c r="G21" s="39">
        <v>43586</v>
      </c>
      <c r="H21" s="34" t="s">
        <v>279</v>
      </c>
      <c r="I21">
        <v>1</v>
      </c>
      <c r="J21">
        <f t="shared" si="0"/>
        <v>8</v>
      </c>
    </row>
    <row r="22" spans="1:10" ht="45" x14ac:dyDescent="0.2">
      <c r="A22" s="33">
        <f t="shared" si="1"/>
        <v>21</v>
      </c>
      <c r="B22" s="34" t="s">
        <v>301</v>
      </c>
      <c r="C22" s="34" t="s">
        <v>179</v>
      </c>
      <c r="D22" s="34" t="s">
        <v>176</v>
      </c>
      <c r="E22" s="35" t="s">
        <v>2</v>
      </c>
      <c r="F22" s="35" t="s">
        <v>282</v>
      </c>
      <c r="G22" s="39">
        <v>43617</v>
      </c>
      <c r="H22" s="34" t="s">
        <v>280</v>
      </c>
      <c r="I22">
        <v>3</v>
      </c>
      <c r="J22">
        <f t="shared" si="0"/>
        <v>24</v>
      </c>
    </row>
    <row r="23" spans="1:10" ht="45" x14ac:dyDescent="0.2">
      <c r="A23" s="33">
        <f t="shared" si="1"/>
        <v>22</v>
      </c>
      <c r="B23" s="34" t="s">
        <v>309</v>
      </c>
      <c r="C23" s="34" t="s">
        <v>179</v>
      </c>
      <c r="D23" s="34" t="s">
        <v>176</v>
      </c>
      <c r="E23" s="35" t="s">
        <v>1</v>
      </c>
      <c r="F23" s="35" t="s">
        <v>282</v>
      </c>
      <c r="G23" s="39">
        <v>43617</v>
      </c>
      <c r="H23" s="34" t="s">
        <v>280</v>
      </c>
      <c r="I23">
        <v>1</v>
      </c>
      <c r="J23">
        <f t="shared" si="0"/>
        <v>8</v>
      </c>
    </row>
    <row r="24" spans="1:10" ht="45" x14ac:dyDescent="0.2">
      <c r="A24" s="33">
        <f t="shared" si="1"/>
        <v>23</v>
      </c>
      <c r="B24" s="34" t="s">
        <v>301</v>
      </c>
      <c r="C24" s="34" t="s">
        <v>179</v>
      </c>
      <c r="D24" s="34" t="s">
        <v>176</v>
      </c>
      <c r="E24" s="35" t="s">
        <v>2</v>
      </c>
      <c r="F24" s="35" t="s">
        <v>282</v>
      </c>
      <c r="G24" s="39">
        <v>43647</v>
      </c>
      <c r="H24" s="34" t="s">
        <v>280</v>
      </c>
      <c r="I24">
        <v>3</v>
      </c>
      <c r="J24">
        <f t="shared" si="0"/>
        <v>24</v>
      </c>
    </row>
    <row r="25" spans="1:10" ht="45" x14ac:dyDescent="0.2">
      <c r="A25" s="33">
        <f>A24+1</f>
        <v>24</v>
      </c>
      <c r="B25" s="34" t="s">
        <v>309</v>
      </c>
      <c r="C25" s="34" t="s">
        <v>179</v>
      </c>
      <c r="D25" s="34" t="s">
        <v>176</v>
      </c>
      <c r="E25" s="35" t="s">
        <v>1</v>
      </c>
      <c r="F25" s="35" t="s">
        <v>282</v>
      </c>
      <c r="G25" s="39">
        <v>43647</v>
      </c>
      <c r="H25" s="34" t="s">
        <v>280</v>
      </c>
      <c r="I25">
        <v>1</v>
      </c>
      <c r="J25">
        <f t="shared" si="0"/>
        <v>8</v>
      </c>
    </row>
    <row r="26" spans="1:10" ht="45" x14ac:dyDescent="0.2">
      <c r="A26" s="33">
        <f t="shared" si="1"/>
        <v>25</v>
      </c>
      <c r="B26" s="34" t="s">
        <v>301</v>
      </c>
      <c r="C26" s="34" t="s">
        <v>179</v>
      </c>
      <c r="D26" s="34" t="s">
        <v>176</v>
      </c>
      <c r="E26" s="35" t="s">
        <v>2</v>
      </c>
      <c r="F26" s="35" t="s">
        <v>282</v>
      </c>
      <c r="G26" s="39">
        <v>43678</v>
      </c>
      <c r="H26" s="34" t="s">
        <v>280</v>
      </c>
      <c r="I26">
        <v>3</v>
      </c>
      <c r="J26">
        <f t="shared" si="0"/>
        <v>24</v>
      </c>
    </row>
    <row r="27" spans="1:10" ht="45" x14ac:dyDescent="0.2">
      <c r="A27" s="33">
        <f t="shared" si="1"/>
        <v>26</v>
      </c>
      <c r="B27" s="34" t="s">
        <v>309</v>
      </c>
      <c r="C27" s="34" t="s">
        <v>179</v>
      </c>
      <c r="D27" s="34" t="s">
        <v>176</v>
      </c>
      <c r="E27" s="35" t="s">
        <v>1</v>
      </c>
      <c r="F27" s="35" t="s">
        <v>282</v>
      </c>
      <c r="G27" s="39">
        <v>43678</v>
      </c>
      <c r="H27" s="34" t="s">
        <v>280</v>
      </c>
      <c r="I27">
        <v>1</v>
      </c>
      <c r="J27">
        <f t="shared" si="0"/>
        <v>8</v>
      </c>
    </row>
    <row r="28" spans="1:10" ht="45" x14ac:dyDescent="0.2">
      <c r="A28" s="33">
        <f t="shared" si="1"/>
        <v>27</v>
      </c>
      <c r="B28" s="34" t="s">
        <v>301</v>
      </c>
      <c r="C28" s="34" t="s">
        <v>179</v>
      </c>
      <c r="D28" s="34" t="s">
        <v>176</v>
      </c>
      <c r="E28" s="35" t="s">
        <v>2</v>
      </c>
      <c r="F28" s="35" t="s">
        <v>282</v>
      </c>
      <c r="G28" s="39">
        <v>43709</v>
      </c>
      <c r="H28" s="34" t="s">
        <v>280</v>
      </c>
      <c r="I28">
        <v>3</v>
      </c>
      <c r="J28">
        <f t="shared" si="0"/>
        <v>24</v>
      </c>
    </row>
    <row r="29" spans="1:10" ht="45" x14ac:dyDescent="0.2">
      <c r="A29" s="33">
        <f t="shared" si="1"/>
        <v>28</v>
      </c>
      <c r="B29" s="34" t="s">
        <v>309</v>
      </c>
      <c r="C29" s="34" t="s">
        <v>179</v>
      </c>
      <c r="D29" s="34" t="s">
        <v>176</v>
      </c>
      <c r="E29" s="35" t="s">
        <v>1</v>
      </c>
      <c r="F29" s="35" t="s">
        <v>282</v>
      </c>
      <c r="G29" s="39">
        <v>43709</v>
      </c>
      <c r="H29" s="34" t="s">
        <v>280</v>
      </c>
      <c r="I29">
        <v>1</v>
      </c>
      <c r="J29">
        <f t="shared" si="0"/>
        <v>8</v>
      </c>
    </row>
    <row r="30" spans="1:10" ht="30" x14ac:dyDescent="0.2">
      <c r="A30" s="33">
        <f t="shared" si="1"/>
        <v>29</v>
      </c>
      <c r="B30" s="34" t="s">
        <v>307</v>
      </c>
      <c r="C30" s="34" t="s">
        <v>15</v>
      </c>
      <c r="D30" s="34" t="s">
        <v>182</v>
      </c>
      <c r="E30" s="35" t="s">
        <v>3</v>
      </c>
      <c r="F30" s="35" t="s">
        <v>282</v>
      </c>
      <c r="G30" s="39">
        <v>43709</v>
      </c>
      <c r="H30" s="34" t="s">
        <v>278</v>
      </c>
      <c r="I30">
        <v>2</v>
      </c>
      <c r="J30">
        <f t="shared" si="0"/>
        <v>16</v>
      </c>
    </row>
    <row r="31" spans="1:10" ht="45" x14ac:dyDescent="0.2">
      <c r="A31" s="33">
        <f t="shared" si="1"/>
        <v>30</v>
      </c>
      <c r="B31" s="34" t="s">
        <v>326</v>
      </c>
      <c r="C31" s="34" t="s">
        <v>179</v>
      </c>
      <c r="D31" s="34" t="s">
        <v>176</v>
      </c>
      <c r="E31" s="35" t="s">
        <v>3</v>
      </c>
      <c r="F31" s="35" t="s">
        <v>282</v>
      </c>
      <c r="G31" s="39">
        <v>43709</v>
      </c>
      <c r="H31" s="34" t="s">
        <v>18</v>
      </c>
      <c r="I31">
        <v>2</v>
      </c>
      <c r="J31">
        <f t="shared" si="0"/>
        <v>16</v>
      </c>
    </row>
    <row r="32" spans="1:10" x14ac:dyDescent="0.2">
      <c r="A32" s="33">
        <f t="shared" si="1"/>
        <v>31</v>
      </c>
      <c r="B32" s="34" t="s">
        <v>301</v>
      </c>
      <c r="C32" s="34" t="s">
        <v>179</v>
      </c>
      <c r="D32" s="34" t="s">
        <v>176</v>
      </c>
      <c r="E32" s="35" t="s">
        <v>2</v>
      </c>
      <c r="F32" s="35" t="s">
        <v>282</v>
      </c>
      <c r="G32" s="39">
        <v>43739</v>
      </c>
      <c r="H32" s="34" t="s">
        <v>11</v>
      </c>
      <c r="I32">
        <v>3</v>
      </c>
      <c r="J32">
        <f t="shared" si="0"/>
        <v>24</v>
      </c>
    </row>
    <row r="33" spans="1:10" ht="45" x14ac:dyDescent="0.2">
      <c r="A33" s="33">
        <f t="shared" si="1"/>
        <v>32</v>
      </c>
      <c r="B33" s="34" t="s">
        <v>309</v>
      </c>
      <c r="C33" s="34" t="s">
        <v>179</v>
      </c>
      <c r="D33" s="34" t="s">
        <v>176</v>
      </c>
      <c r="E33" s="35" t="s">
        <v>1</v>
      </c>
      <c r="F33" s="35" t="s">
        <v>282</v>
      </c>
      <c r="G33" s="39">
        <v>43739</v>
      </c>
      <c r="H33" s="34" t="s">
        <v>280</v>
      </c>
      <c r="I33">
        <v>1</v>
      </c>
      <c r="J33">
        <f t="shared" si="0"/>
        <v>8</v>
      </c>
    </row>
    <row r="34" spans="1:10" ht="45" x14ac:dyDescent="0.2">
      <c r="A34" s="33">
        <f t="shared" si="1"/>
        <v>33</v>
      </c>
      <c r="B34" s="34" t="s">
        <v>328</v>
      </c>
      <c r="C34" s="34" t="s">
        <v>179</v>
      </c>
      <c r="D34" s="34" t="s">
        <v>183</v>
      </c>
      <c r="E34" s="35" t="s">
        <v>1</v>
      </c>
      <c r="F34" s="35" t="s">
        <v>282</v>
      </c>
      <c r="G34" s="39">
        <v>43739</v>
      </c>
      <c r="H34" s="34" t="s">
        <v>280</v>
      </c>
      <c r="I34">
        <v>1</v>
      </c>
      <c r="J34">
        <f t="shared" si="0"/>
        <v>8</v>
      </c>
    </row>
    <row r="35" spans="1:10" ht="45" x14ac:dyDescent="0.2">
      <c r="A35" s="33">
        <f t="shared" si="1"/>
        <v>34</v>
      </c>
      <c r="B35" s="34" t="s">
        <v>307</v>
      </c>
      <c r="C35" s="34" t="s">
        <v>179</v>
      </c>
      <c r="D35" s="34" t="s">
        <v>176</v>
      </c>
      <c r="E35" s="35" t="s">
        <v>2</v>
      </c>
      <c r="F35" s="35" t="s">
        <v>282</v>
      </c>
      <c r="G35" s="39">
        <v>43739</v>
      </c>
      <c r="H35" s="34" t="s">
        <v>280</v>
      </c>
      <c r="I35">
        <v>3</v>
      </c>
      <c r="J35">
        <f t="shared" si="0"/>
        <v>24</v>
      </c>
    </row>
    <row r="36" spans="1:10" ht="45" x14ac:dyDescent="0.2">
      <c r="A36" s="33">
        <f t="shared" si="1"/>
        <v>35</v>
      </c>
      <c r="B36" s="34" t="s">
        <v>309</v>
      </c>
      <c r="C36" s="34" t="s">
        <v>179</v>
      </c>
      <c r="D36" s="34" t="s">
        <v>176</v>
      </c>
      <c r="E36" s="35" t="s">
        <v>1</v>
      </c>
      <c r="F36" s="35" t="s">
        <v>282</v>
      </c>
      <c r="G36" s="39">
        <v>43770</v>
      </c>
      <c r="H36" s="34" t="s">
        <v>280</v>
      </c>
      <c r="I36">
        <v>1</v>
      </c>
      <c r="J36">
        <f t="shared" si="0"/>
        <v>8</v>
      </c>
    </row>
    <row r="37" spans="1:10" ht="45" x14ac:dyDescent="0.2">
      <c r="A37" s="33">
        <f t="shared" si="1"/>
        <v>36</v>
      </c>
      <c r="B37" s="34" t="s">
        <v>301</v>
      </c>
      <c r="C37" s="34" t="s">
        <v>179</v>
      </c>
      <c r="D37" s="34" t="s">
        <v>176</v>
      </c>
      <c r="E37" s="35" t="s">
        <v>2</v>
      </c>
      <c r="F37" s="35" t="s">
        <v>282</v>
      </c>
      <c r="G37" s="39">
        <v>43770</v>
      </c>
      <c r="H37" s="34" t="s">
        <v>280</v>
      </c>
      <c r="I37">
        <v>3</v>
      </c>
      <c r="J37">
        <f t="shared" si="0"/>
        <v>24</v>
      </c>
    </row>
    <row r="38" spans="1:10" ht="45" x14ac:dyDescent="0.2">
      <c r="A38" s="33">
        <f t="shared" si="1"/>
        <v>37</v>
      </c>
      <c r="B38" s="34" t="s">
        <v>309</v>
      </c>
      <c r="C38" s="34" t="s">
        <v>179</v>
      </c>
      <c r="D38" s="34" t="s">
        <v>176</v>
      </c>
      <c r="E38" s="35" t="s">
        <v>1</v>
      </c>
      <c r="F38" s="35" t="s">
        <v>282</v>
      </c>
      <c r="G38" s="39">
        <v>43800</v>
      </c>
      <c r="H38" s="34" t="s">
        <v>280</v>
      </c>
      <c r="I38">
        <v>1</v>
      </c>
      <c r="J38">
        <f t="shared" si="0"/>
        <v>8</v>
      </c>
    </row>
    <row r="39" spans="1:10" ht="45" x14ac:dyDescent="0.2">
      <c r="A39" s="33">
        <f t="shared" si="1"/>
        <v>38</v>
      </c>
      <c r="B39" s="34" t="s">
        <v>301</v>
      </c>
      <c r="C39" s="34" t="s">
        <v>179</v>
      </c>
      <c r="D39" s="34" t="s">
        <v>176</v>
      </c>
      <c r="E39" s="35" t="s">
        <v>2</v>
      </c>
      <c r="F39" s="35" t="s">
        <v>282</v>
      </c>
      <c r="G39" s="39">
        <v>43800</v>
      </c>
      <c r="H39" s="34" t="s">
        <v>280</v>
      </c>
      <c r="I39">
        <v>3</v>
      </c>
      <c r="J39">
        <f t="shared" si="0"/>
        <v>24</v>
      </c>
    </row>
    <row r="40" spans="1:10" ht="30" x14ac:dyDescent="0.2">
      <c r="A40" s="33">
        <f t="shared" si="1"/>
        <v>39</v>
      </c>
      <c r="B40" s="34" t="s">
        <v>307</v>
      </c>
      <c r="C40" s="34" t="s">
        <v>15</v>
      </c>
      <c r="D40" s="34" t="s">
        <v>176</v>
      </c>
      <c r="E40" s="35" t="s">
        <v>1</v>
      </c>
      <c r="F40" s="35" t="s">
        <v>282</v>
      </c>
      <c r="G40" s="39">
        <v>43831</v>
      </c>
      <c r="H40" s="34" t="s">
        <v>278</v>
      </c>
      <c r="I40">
        <v>1</v>
      </c>
      <c r="J40">
        <f t="shared" si="0"/>
        <v>8</v>
      </c>
    </row>
    <row r="41" spans="1:10" x14ac:dyDescent="0.2">
      <c r="A41" s="33">
        <f t="shared" si="1"/>
        <v>40</v>
      </c>
      <c r="B41" s="34" t="s">
        <v>301</v>
      </c>
      <c r="C41" s="34" t="s">
        <v>184</v>
      </c>
      <c r="D41" s="34" t="s">
        <v>176</v>
      </c>
      <c r="E41" s="35" t="s">
        <v>2</v>
      </c>
      <c r="F41" s="35" t="s">
        <v>282</v>
      </c>
      <c r="G41" s="39">
        <v>43831</v>
      </c>
      <c r="H41" s="34" t="s">
        <v>19</v>
      </c>
      <c r="I41">
        <v>3</v>
      </c>
      <c r="J41">
        <f t="shared" si="0"/>
        <v>24</v>
      </c>
    </row>
    <row r="42" spans="1:10" ht="45" x14ac:dyDescent="0.2">
      <c r="A42" s="33">
        <f t="shared" si="1"/>
        <v>41</v>
      </c>
      <c r="B42" s="34" t="s">
        <v>302</v>
      </c>
      <c r="C42" s="34" t="s">
        <v>179</v>
      </c>
      <c r="D42" s="34" t="s">
        <v>176</v>
      </c>
      <c r="E42" s="35" t="s">
        <v>4</v>
      </c>
      <c r="F42" s="35" t="s">
        <v>283</v>
      </c>
      <c r="G42" s="39">
        <v>43891</v>
      </c>
      <c r="H42" s="34" t="s">
        <v>280</v>
      </c>
      <c r="I42">
        <f>(2/8)*1</f>
        <v>0.25</v>
      </c>
      <c r="J42">
        <v>2</v>
      </c>
    </row>
    <row r="43" spans="1:10" ht="45" x14ac:dyDescent="0.2">
      <c r="A43" s="33">
        <f t="shared" si="1"/>
        <v>42</v>
      </c>
      <c r="B43" s="34" t="s">
        <v>297</v>
      </c>
      <c r="C43" s="34" t="s">
        <v>179</v>
      </c>
      <c r="D43" s="34" t="s">
        <v>176</v>
      </c>
      <c r="E43" s="35" t="s">
        <v>4</v>
      </c>
      <c r="F43" s="35" t="s">
        <v>283</v>
      </c>
      <c r="G43" s="39">
        <v>43952</v>
      </c>
      <c r="H43" s="34" t="s">
        <v>280</v>
      </c>
      <c r="I43">
        <f>(2/8)*1</f>
        <v>0.25</v>
      </c>
      <c r="J43">
        <v>2</v>
      </c>
    </row>
    <row r="44" spans="1:10" ht="45" x14ac:dyDescent="0.2">
      <c r="A44" s="33">
        <f t="shared" si="1"/>
        <v>43</v>
      </c>
      <c r="B44" s="34" t="s">
        <v>298</v>
      </c>
      <c r="C44" s="34" t="s">
        <v>184</v>
      </c>
      <c r="D44" s="34" t="s">
        <v>185</v>
      </c>
      <c r="E44" s="35" t="s">
        <v>4</v>
      </c>
      <c r="F44" s="35" t="s">
        <v>283</v>
      </c>
      <c r="G44" s="39">
        <v>43952</v>
      </c>
      <c r="H44" s="34" t="s">
        <v>11</v>
      </c>
      <c r="I44">
        <f>(2/8)*1</f>
        <v>0.25</v>
      </c>
      <c r="J44">
        <v>2</v>
      </c>
    </row>
    <row r="45" spans="1:10" ht="30" x14ac:dyDescent="0.2">
      <c r="A45" s="33">
        <f t="shared" si="1"/>
        <v>44</v>
      </c>
      <c r="B45" s="34" t="s">
        <v>302</v>
      </c>
      <c r="C45" s="34" t="s">
        <v>186</v>
      </c>
      <c r="D45" s="34" t="s">
        <v>176</v>
      </c>
      <c r="E45" s="35" t="s">
        <v>4</v>
      </c>
      <c r="F45" s="35" t="s">
        <v>283</v>
      </c>
      <c r="G45" s="39">
        <v>43983</v>
      </c>
      <c r="H45" s="34" t="s">
        <v>11</v>
      </c>
      <c r="I45">
        <f>(2/8)*1</f>
        <v>0.25</v>
      </c>
      <c r="J45">
        <v>2</v>
      </c>
    </row>
    <row r="46" spans="1:10" ht="45" x14ac:dyDescent="0.2">
      <c r="A46" s="33">
        <f t="shared" si="1"/>
        <v>45</v>
      </c>
      <c r="B46" s="34" t="s">
        <v>298</v>
      </c>
      <c r="C46" s="34" t="s">
        <v>186</v>
      </c>
      <c r="D46" s="34" t="s">
        <v>176</v>
      </c>
      <c r="E46" s="35" t="s">
        <v>4</v>
      </c>
      <c r="F46" s="35" t="s">
        <v>283</v>
      </c>
      <c r="G46" s="39">
        <v>43983</v>
      </c>
      <c r="H46" s="34" t="s">
        <v>11</v>
      </c>
      <c r="I46">
        <f>(2/8)*1</f>
        <v>0.25</v>
      </c>
      <c r="J46">
        <v>2</v>
      </c>
    </row>
    <row r="47" spans="1:10" x14ac:dyDescent="0.2">
      <c r="A47" s="33">
        <f t="shared" si="1"/>
        <v>46</v>
      </c>
      <c r="B47" s="34" t="s">
        <v>307</v>
      </c>
      <c r="C47" s="34" t="s">
        <v>15</v>
      </c>
      <c r="D47" s="34" t="s">
        <v>176</v>
      </c>
      <c r="E47" s="35" t="s">
        <v>2</v>
      </c>
      <c r="F47" s="35" t="s">
        <v>283</v>
      </c>
      <c r="G47" s="39">
        <v>43983</v>
      </c>
      <c r="H47" s="34" t="s">
        <v>11</v>
      </c>
      <c r="I47">
        <v>3</v>
      </c>
      <c r="J47">
        <f>I47*8</f>
        <v>24</v>
      </c>
    </row>
    <row r="48" spans="1:10" x14ac:dyDescent="0.2">
      <c r="A48" s="33">
        <f t="shared" si="1"/>
        <v>47</v>
      </c>
      <c r="B48" s="34" t="s">
        <v>301</v>
      </c>
      <c r="C48" s="34" t="s">
        <v>15</v>
      </c>
      <c r="D48" s="34" t="s">
        <v>176</v>
      </c>
      <c r="E48" s="35" t="s">
        <v>3</v>
      </c>
      <c r="F48" s="35" t="s">
        <v>283</v>
      </c>
      <c r="G48" s="39">
        <v>43983</v>
      </c>
      <c r="H48" s="34" t="s">
        <v>11</v>
      </c>
      <c r="I48">
        <v>2</v>
      </c>
      <c r="J48">
        <f>I48*8</f>
        <v>16</v>
      </c>
    </row>
    <row r="49" spans="1:10" x14ac:dyDescent="0.2">
      <c r="A49" s="33">
        <f t="shared" si="1"/>
        <v>48</v>
      </c>
      <c r="B49" s="34" t="s">
        <v>296</v>
      </c>
      <c r="C49" s="34" t="s">
        <v>186</v>
      </c>
      <c r="D49" s="34" t="s">
        <v>176</v>
      </c>
      <c r="E49" s="35" t="s">
        <v>4</v>
      </c>
      <c r="F49" s="35" t="s">
        <v>283</v>
      </c>
      <c r="G49" s="39">
        <v>44013</v>
      </c>
      <c r="H49" s="34" t="s">
        <v>11</v>
      </c>
      <c r="I49">
        <f>(2/8)*1</f>
        <v>0.25</v>
      </c>
      <c r="J49">
        <v>2</v>
      </c>
    </row>
    <row r="50" spans="1:10" x14ac:dyDescent="0.2">
      <c r="A50" s="33">
        <f t="shared" si="1"/>
        <v>49</v>
      </c>
      <c r="B50" s="34" t="s">
        <v>295</v>
      </c>
      <c r="C50" s="34" t="s">
        <v>188</v>
      </c>
      <c r="D50" s="34" t="s">
        <v>189</v>
      </c>
      <c r="E50" s="35" t="s">
        <v>4</v>
      </c>
      <c r="F50" s="35" t="s">
        <v>283</v>
      </c>
      <c r="G50" s="39">
        <v>44013</v>
      </c>
      <c r="H50" s="34" t="s">
        <v>11</v>
      </c>
      <c r="I50">
        <f>(2/8)*1</f>
        <v>0.25</v>
      </c>
      <c r="J50">
        <v>2</v>
      </c>
    </row>
    <row r="51" spans="1:10" x14ac:dyDescent="0.2">
      <c r="A51" s="33">
        <f t="shared" si="1"/>
        <v>50</v>
      </c>
      <c r="B51" s="34" t="s">
        <v>301</v>
      </c>
      <c r="C51" s="34" t="s">
        <v>15</v>
      </c>
      <c r="D51" s="34" t="s">
        <v>176</v>
      </c>
      <c r="E51" s="35" t="s">
        <v>1</v>
      </c>
      <c r="F51" s="35" t="s">
        <v>283</v>
      </c>
      <c r="G51" s="39">
        <v>44013</v>
      </c>
      <c r="H51" s="34" t="s">
        <v>11</v>
      </c>
      <c r="I51">
        <v>1</v>
      </c>
      <c r="J51">
        <f>I51*8</f>
        <v>8</v>
      </c>
    </row>
    <row r="52" spans="1:10" ht="30" x14ac:dyDescent="0.2">
      <c r="A52" s="33">
        <f t="shared" si="1"/>
        <v>51</v>
      </c>
      <c r="B52" s="34" t="s">
        <v>293</v>
      </c>
      <c r="C52" s="34" t="s">
        <v>186</v>
      </c>
      <c r="D52" s="34" t="s">
        <v>176</v>
      </c>
      <c r="E52" s="35" t="s">
        <v>4</v>
      </c>
      <c r="F52" s="35" t="s">
        <v>283</v>
      </c>
      <c r="G52" s="39">
        <v>44013</v>
      </c>
      <c r="H52" s="34" t="s">
        <v>11</v>
      </c>
      <c r="I52">
        <f>(2/8)*1</f>
        <v>0.25</v>
      </c>
      <c r="J52">
        <v>2</v>
      </c>
    </row>
    <row r="53" spans="1:10" ht="45" x14ac:dyDescent="0.2">
      <c r="A53" s="33">
        <f t="shared" si="1"/>
        <v>52</v>
      </c>
      <c r="B53" s="34" t="s">
        <v>309</v>
      </c>
      <c r="C53" s="34" t="s">
        <v>179</v>
      </c>
      <c r="D53" s="34" t="s">
        <v>176</v>
      </c>
      <c r="E53" s="35" t="s">
        <v>1</v>
      </c>
      <c r="F53" s="35" t="s">
        <v>283</v>
      </c>
      <c r="G53" s="39">
        <v>44013</v>
      </c>
      <c r="H53" s="34" t="s">
        <v>11</v>
      </c>
      <c r="I53">
        <v>1</v>
      </c>
      <c r="J53">
        <f>I53*8</f>
        <v>8</v>
      </c>
    </row>
    <row r="54" spans="1:10" ht="30" x14ac:dyDescent="0.2">
      <c r="A54" s="33">
        <f t="shared" si="1"/>
        <v>53</v>
      </c>
      <c r="B54" s="34" t="s">
        <v>294</v>
      </c>
      <c r="C54" s="34" t="s">
        <v>184</v>
      </c>
      <c r="D54" s="34" t="s">
        <v>185</v>
      </c>
      <c r="E54" s="35" t="s">
        <v>4</v>
      </c>
      <c r="F54" s="35" t="s">
        <v>283</v>
      </c>
      <c r="G54" s="39">
        <v>44013</v>
      </c>
      <c r="H54" s="34" t="s">
        <v>11</v>
      </c>
      <c r="I54">
        <f>(2/8)*1</f>
        <v>0.25</v>
      </c>
      <c r="J54">
        <v>2</v>
      </c>
    </row>
    <row r="55" spans="1:10" ht="30" x14ac:dyDescent="0.2">
      <c r="A55" s="33">
        <f t="shared" si="1"/>
        <v>54</v>
      </c>
      <c r="B55" s="34" t="s">
        <v>293</v>
      </c>
      <c r="C55" s="34" t="s">
        <v>190</v>
      </c>
      <c r="D55" s="34" t="s">
        <v>176</v>
      </c>
      <c r="E55" s="35" t="s">
        <v>4</v>
      </c>
      <c r="F55" s="35" t="s">
        <v>283</v>
      </c>
      <c r="G55" s="39">
        <v>44013</v>
      </c>
      <c r="H55" s="34" t="s">
        <v>11</v>
      </c>
      <c r="I55">
        <f>(2/8)*1</f>
        <v>0.25</v>
      </c>
      <c r="J55">
        <v>2</v>
      </c>
    </row>
    <row r="56" spans="1:10" ht="45" x14ac:dyDescent="0.2">
      <c r="A56" s="33">
        <f t="shared" si="1"/>
        <v>55</v>
      </c>
      <c r="B56" s="34" t="s">
        <v>309</v>
      </c>
      <c r="C56" s="34" t="s">
        <v>179</v>
      </c>
      <c r="D56" s="34" t="s">
        <v>176</v>
      </c>
      <c r="E56" s="35" t="s">
        <v>1</v>
      </c>
      <c r="F56" s="35" t="s">
        <v>283</v>
      </c>
      <c r="G56" s="39">
        <v>44044</v>
      </c>
      <c r="H56" s="34" t="s">
        <v>11</v>
      </c>
      <c r="I56">
        <v>1</v>
      </c>
      <c r="J56">
        <f>I56*8</f>
        <v>8</v>
      </c>
    </row>
    <row r="57" spans="1:10" ht="45" x14ac:dyDescent="0.2">
      <c r="A57" s="33">
        <f t="shared" si="1"/>
        <v>56</v>
      </c>
      <c r="B57" s="34" t="s">
        <v>309</v>
      </c>
      <c r="C57" s="34" t="s">
        <v>190</v>
      </c>
      <c r="D57" s="34" t="s">
        <v>176</v>
      </c>
      <c r="E57" s="35" t="s">
        <v>1</v>
      </c>
      <c r="F57" s="35" t="s">
        <v>283</v>
      </c>
      <c r="G57" s="39">
        <v>44044</v>
      </c>
      <c r="H57" s="34" t="s">
        <v>11</v>
      </c>
      <c r="I57">
        <v>1</v>
      </c>
      <c r="J57">
        <f>I57*8</f>
        <v>8</v>
      </c>
    </row>
    <row r="58" spans="1:10" x14ac:dyDescent="0.2">
      <c r="A58" s="33">
        <f t="shared" si="1"/>
        <v>57</v>
      </c>
      <c r="B58" s="34" t="s">
        <v>299</v>
      </c>
      <c r="C58" s="34" t="s">
        <v>186</v>
      </c>
      <c r="D58" s="34" t="s">
        <v>176</v>
      </c>
      <c r="E58" s="35" t="s">
        <v>4</v>
      </c>
      <c r="F58" s="35" t="s">
        <v>283</v>
      </c>
      <c r="G58" s="39">
        <v>44044</v>
      </c>
      <c r="H58" s="34" t="s">
        <v>11</v>
      </c>
      <c r="I58">
        <f>(2/8)*1</f>
        <v>0.25</v>
      </c>
      <c r="J58">
        <v>2</v>
      </c>
    </row>
    <row r="59" spans="1:10" ht="30" x14ac:dyDescent="0.2">
      <c r="A59" s="33">
        <f t="shared" si="1"/>
        <v>58</v>
      </c>
      <c r="B59" s="34" t="s">
        <v>293</v>
      </c>
      <c r="C59" s="34" t="s">
        <v>179</v>
      </c>
      <c r="D59" s="34" t="s">
        <v>176</v>
      </c>
      <c r="E59" s="35" t="s">
        <v>5</v>
      </c>
      <c r="F59" s="35" t="s">
        <v>283</v>
      </c>
      <c r="G59" s="39">
        <v>44044</v>
      </c>
      <c r="H59" s="34" t="s">
        <v>11</v>
      </c>
      <c r="I59">
        <f>(3/8)*1</f>
        <v>0.375</v>
      </c>
      <c r="J59">
        <v>3</v>
      </c>
    </row>
    <row r="60" spans="1:10" ht="45" x14ac:dyDescent="0.2">
      <c r="A60" s="33">
        <f t="shared" si="1"/>
        <v>59</v>
      </c>
      <c r="B60" s="34" t="s">
        <v>326</v>
      </c>
      <c r="C60" s="34" t="s">
        <v>184</v>
      </c>
      <c r="D60" s="34" t="s">
        <v>176</v>
      </c>
      <c r="E60" s="35" t="s">
        <v>1</v>
      </c>
      <c r="F60" s="35" t="s">
        <v>283</v>
      </c>
      <c r="G60" s="39">
        <v>44044</v>
      </c>
      <c r="H60" s="34" t="s">
        <v>11</v>
      </c>
      <c r="I60">
        <v>1</v>
      </c>
      <c r="J60">
        <f t="shared" ref="J60:J79" si="2">I60*8</f>
        <v>8</v>
      </c>
    </row>
    <row r="61" spans="1:10" ht="45" x14ac:dyDescent="0.2">
      <c r="A61" s="33">
        <f t="shared" si="1"/>
        <v>60</v>
      </c>
      <c r="B61" s="34" t="s">
        <v>309</v>
      </c>
      <c r="C61" s="34" t="s">
        <v>191</v>
      </c>
      <c r="D61" s="34" t="s">
        <v>192</v>
      </c>
      <c r="E61" s="35" t="s">
        <v>1</v>
      </c>
      <c r="F61" s="35" t="s">
        <v>283</v>
      </c>
      <c r="G61" s="39">
        <v>44044</v>
      </c>
      <c r="H61" s="34" t="s">
        <v>11</v>
      </c>
      <c r="I61">
        <v>1</v>
      </c>
      <c r="J61">
        <f t="shared" si="2"/>
        <v>8</v>
      </c>
    </row>
    <row r="62" spans="1:10" ht="45" x14ac:dyDescent="0.2">
      <c r="A62" s="33">
        <f t="shared" si="1"/>
        <v>61</v>
      </c>
      <c r="B62" s="34" t="s">
        <v>309</v>
      </c>
      <c r="C62" s="34" t="s">
        <v>191</v>
      </c>
      <c r="D62" s="34" t="s">
        <v>176</v>
      </c>
      <c r="E62" s="35" t="s">
        <v>1</v>
      </c>
      <c r="F62" s="35" t="s">
        <v>283</v>
      </c>
      <c r="G62" s="39">
        <v>44044</v>
      </c>
      <c r="H62" s="34" t="s">
        <v>11</v>
      </c>
      <c r="I62">
        <v>1</v>
      </c>
      <c r="J62">
        <f t="shared" si="2"/>
        <v>8</v>
      </c>
    </row>
    <row r="63" spans="1:10" ht="45" x14ac:dyDescent="0.2">
      <c r="A63" s="33">
        <f t="shared" si="1"/>
        <v>62</v>
      </c>
      <c r="B63" s="34" t="s">
        <v>335</v>
      </c>
      <c r="C63" s="34" t="s">
        <v>15</v>
      </c>
      <c r="D63" s="34" t="s">
        <v>350</v>
      </c>
      <c r="E63" s="35" t="s">
        <v>1</v>
      </c>
      <c r="F63" s="35" t="s">
        <v>282</v>
      </c>
      <c r="G63" s="39">
        <v>44049</v>
      </c>
      <c r="H63" s="34" t="s">
        <v>11</v>
      </c>
      <c r="I63">
        <v>1</v>
      </c>
      <c r="J63">
        <f t="shared" ref="J63" si="3">I63*8</f>
        <v>8</v>
      </c>
    </row>
    <row r="64" spans="1:10" ht="45" x14ac:dyDescent="0.2">
      <c r="A64" s="33">
        <f t="shared" si="1"/>
        <v>63</v>
      </c>
      <c r="B64" s="34" t="s">
        <v>309</v>
      </c>
      <c r="C64" s="34" t="s">
        <v>179</v>
      </c>
      <c r="D64" s="34" t="s">
        <v>176</v>
      </c>
      <c r="E64" s="35" t="s">
        <v>1</v>
      </c>
      <c r="F64" s="35" t="s">
        <v>283</v>
      </c>
      <c r="G64" s="39">
        <v>44044</v>
      </c>
      <c r="H64" s="34" t="s">
        <v>11</v>
      </c>
      <c r="I64">
        <v>1</v>
      </c>
      <c r="J64">
        <f t="shared" si="2"/>
        <v>8</v>
      </c>
    </row>
    <row r="65" spans="1:10" ht="30" x14ac:dyDescent="0.2">
      <c r="A65" s="33">
        <f t="shared" si="1"/>
        <v>64</v>
      </c>
      <c r="B65" s="34" t="s">
        <v>328</v>
      </c>
      <c r="C65" s="34" t="s">
        <v>184</v>
      </c>
      <c r="D65" s="34" t="s">
        <v>50</v>
      </c>
      <c r="E65" s="35" t="s">
        <v>355</v>
      </c>
      <c r="F65" s="35" t="s">
        <v>282</v>
      </c>
      <c r="G65" s="39">
        <v>44075</v>
      </c>
      <c r="H65" s="34" t="s">
        <v>285</v>
      </c>
      <c r="I65">
        <v>0.5</v>
      </c>
      <c r="J65">
        <f t="shared" si="2"/>
        <v>4</v>
      </c>
    </row>
    <row r="66" spans="1:10" ht="45" x14ac:dyDescent="0.2">
      <c r="A66" s="33">
        <f t="shared" si="1"/>
        <v>65</v>
      </c>
      <c r="B66" s="34" t="s">
        <v>309</v>
      </c>
      <c r="C66" s="34" t="s">
        <v>184</v>
      </c>
      <c r="D66" s="34" t="s">
        <v>50</v>
      </c>
      <c r="E66" s="35" t="s">
        <v>355</v>
      </c>
      <c r="F66" s="35" t="s">
        <v>282</v>
      </c>
      <c r="G66" s="39">
        <v>44075</v>
      </c>
      <c r="H66" s="34" t="s">
        <v>285</v>
      </c>
      <c r="I66">
        <v>0.5</v>
      </c>
      <c r="J66">
        <f t="shared" si="2"/>
        <v>4</v>
      </c>
    </row>
    <row r="67" spans="1:10" x14ac:dyDescent="0.2">
      <c r="A67" s="33">
        <f t="shared" si="1"/>
        <v>66</v>
      </c>
      <c r="B67" s="34" t="s">
        <v>301</v>
      </c>
      <c r="C67" s="34" t="s">
        <v>15</v>
      </c>
      <c r="D67" s="34" t="s">
        <v>176</v>
      </c>
      <c r="E67" s="35" t="s">
        <v>20</v>
      </c>
      <c r="F67" s="35" t="s">
        <v>283</v>
      </c>
      <c r="G67" s="39">
        <v>44075</v>
      </c>
      <c r="H67" s="34" t="s">
        <v>11</v>
      </c>
      <c r="I67">
        <v>3</v>
      </c>
      <c r="J67">
        <f t="shared" si="2"/>
        <v>24</v>
      </c>
    </row>
    <row r="68" spans="1:10" ht="45" x14ac:dyDescent="0.2">
      <c r="A68" s="33">
        <f t="shared" ref="A68:A132" si="4">A67+1</f>
        <v>67</v>
      </c>
      <c r="B68" s="34" t="s">
        <v>309</v>
      </c>
      <c r="C68" s="34" t="s">
        <v>179</v>
      </c>
      <c r="D68" s="34" t="s">
        <v>176</v>
      </c>
      <c r="E68" s="35" t="s">
        <v>1</v>
      </c>
      <c r="F68" s="35" t="s">
        <v>283</v>
      </c>
      <c r="G68" s="39">
        <v>44075</v>
      </c>
      <c r="H68" s="34" t="s">
        <v>11</v>
      </c>
      <c r="I68">
        <v>1</v>
      </c>
      <c r="J68">
        <f t="shared" si="2"/>
        <v>8</v>
      </c>
    </row>
    <row r="69" spans="1:10" ht="60" x14ac:dyDescent="0.2">
      <c r="A69" s="33">
        <f t="shared" si="4"/>
        <v>68</v>
      </c>
      <c r="B69" s="34" t="s">
        <v>327</v>
      </c>
      <c r="C69" s="34" t="s">
        <v>190</v>
      </c>
      <c r="D69" s="34" t="s">
        <v>176</v>
      </c>
      <c r="E69" s="35" t="s">
        <v>1</v>
      </c>
      <c r="F69" s="35" t="s">
        <v>283</v>
      </c>
      <c r="G69" s="39">
        <v>45220</v>
      </c>
      <c r="H69" s="34" t="s">
        <v>11</v>
      </c>
      <c r="I69">
        <v>1</v>
      </c>
      <c r="J69">
        <f t="shared" si="2"/>
        <v>8</v>
      </c>
    </row>
    <row r="70" spans="1:10" ht="45" x14ac:dyDescent="0.2">
      <c r="A70" s="33">
        <f t="shared" si="4"/>
        <v>69</v>
      </c>
      <c r="B70" s="34" t="s">
        <v>309</v>
      </c>
      <c r="C70" s="34" t="s">
        <v>179</v>
      </c>
      <c r="D70" s="34" t="s">
        <v>176</v>
      </c>
      <c r="E70" s="35" t="s">
        <v>1</v>
      </c>
      <c r="F70" s="35" t="s">
        <v>283</v>
      </c>
      <c r="G70" s="39">
        <v>44105</v>
      </c>
      <c r="H70" s="34" t="s">
        <v>11</v>
      </c>
      <c r="I70">
        <v>1</v>
      </c>
      <c r="J70">
        <f t="shared" si="2"/>
        <v>8</v>
      </c>
    </row>
    <row r="71" spans="1:10" x14ac:dyDescent="0.2">
      <c r="A71" s="33">
        <f t="shared" si="4"/>
        <v>70</v>
      </c>
      <c r="B71" s="34" t="s">
        <v>301</v>
      </c>
      <c r="C71" s="34" t="s">
        <v>193</v>
      </c>
      <c r="D71" s="34" t="s">
        <v>176</v>
      </c>
      <c r="E71" s="35" t="s">
        <v>1</v>
      </c>
      <c r="F71" s="35" t="s">
        <v>283</v>
      </c>
      <c r="G71" s="39">
        <v>44105</v>
      </c>
      <c r="H71" s="34" t="s">
        <v>11</v>
      </c>
      <c r="I71">
        <v>1</v>
      </c>
      <c r="J71">
        <f t="shared" si="2"/>
        <v>8</v>
      </c>
    </row>
    <row r="72" spans="1:10" ht="45" x14ac:dyDescent="0.2">
      <c r="A72" s="33">
        <f t="shared" si="4"/>
        <v>71</v>
      </c>
      <c r="B72" s="34" t="s">
        <v>310</v>
      </c>
      <c r="C72" s="34" t="s">
        <v>194</v>
      </c>
      <c r="D72" s="34" t="s">
        <v>195</v>
      </c>
      <c r="E72" s="35" t="s">
        <v>1</v>
      </c>
      <c r="F72" s="35" t="s">
        <v>282</v>
      </c>
      <c r="G72" s="39">
        <v>44146</v>
      </c>
      <c r="H72" s="34" t="s">
        <v>284</v>
      </c>
      <c r="I72">
        <v>1</v>
      </c>
      <c r="J72">
        <f t="shared" si="2"/>
        <v>8</v>
      </c>
    </row>
    <row r="73" spans="1:10" ht="45" x14ac:dyDescent="0.2">
      <c r="A73" s="33">
        <f t="shared" si="4"/>
        <v>72</v>
      </c>
      <c r="B73" s="34" t="s">
        <v>309</v>
      </c>
      <c r="C73" s="34" t="s">
        <v>179</v>
      </c>
      <c r="D73" s="34" t="s">
        <v>176</v>
      </c>
      <c r="E73" s="35" t="s">
        <v>1</v>
      </c>
      <c r="F73" s="35" t="s">
        <v>283</v>
      </c>
      <c r="G73" s="39">
        <v>44154</v>
      </c>
      <c r="H73" s="34" t="s">
        <v>11</v>
      </c>
      <c r="I73">
        <v>1</v>
      </c>
      <c r="J73">
        <f t="shared" si="2"/>
        <v>8</v>
      </c>
    </row>
    <row r="74" spans="1:10" ht="45" x14ac:dyDescent="0.2">
      <c r="A74" s="33">
        <f t="shared" si="4"/>
        <v>73</v>
      </c>
      <c r="B74" s="34" t="s">
        <v>309</v>
      </c>
      <c r="C74" s="34" t="s">
        <v>191</v>
      </c>
      <c r="D74" s="34" t="s">
        <v>176</v>
      </c>
      <c r="E74" s="35" t="s">
        <v>1</v>
      </c>
      <c r="F74" s="35" t="s">
        <v>283</v>
      </c>
      <c r="G74" s="40">
        <v>44156</v>
      </c>
      <c r="H74" s="34" t="s">
        <v>11</v>
      </c>
      <c r="I74">
        <v>1</v>
      </c>
      <c r="J74">
        <f t="shared" si="2"/>
        <v>8</v>
      </c>
    </row>
    <row r="75" spans="1:10" ht="45" x14ac:dyDescent="0.2">
      <c r="A75" s="33">
        <f t="shared" si="4"/>
        <v>74</v>
      </c>
      <c r="B75" s="34" t="s">
        <v>309</v>
      </c>
      <c r="C75" s="34" t="s">
        <v>191</v>
      </c>
      <c r="D75" s="34" t="s">
        <v>176</v>
      </c>
      <c r="E75" s="35" t="s">
        <v>1</v>
      </c>
      <c r="F75" s="35" t="s">
        <v>283</v>
      </c>
      <c r="G75" s="40">
        <v>44158</v>
      </c>
      <c r="H75" s="34" t="s">
        <v>11</v>
      </c>
      <c r="I75">
        <v>1</v>
      </c>
      <c r="J75">
        <f t="shared" si="2"/>
        <v>8</v>
      </c>
    </row>
    <row r="76" spans="1:10" ht="45" x14ac:dyDescent="0.2">
      <c r="A76" s="33">
        <f t="shared" si="4"/>
        <v>75</v>
      </c>
      <c r="B76" s="34" t="s">
        <v>309</v>
      </c>
      <c r="C76" s="34" t="s">
        <v>179</v>
      </c>
      <c r="D76" s="34" t="s">
        <v>176</v>
      </c>
      <c r="E76" s="35" t="s">
        <v>1</v>
      </c>
      <c r="F76" s="35" t="s">
        <v>283</v>
      </c>
      <c r="G76" s="40">
        <v>44160</v>
      </c>
      <c r="H76" s="34" t="s">
        <v>11</v>
      </c>
      <c r="I76">
        <v>1</v>
      </c>
      <c r="J76">
        <f t="shared" si="2"/>
        <v>8</v>
      </c>
    </row>
    <row r="77" spans="1:10" x14ac:dyDescent="0.2">
      <c r="A77" s="33">
        <f t="shared" si="4"/>
        <v>76</v>
      </c>
      <c r="B77" s="34" t="s">
        <v>322</v>
      </c>
      <c r="C77" s="34" t="s">
        <v>179</v>
      </c>
      <c r="D77" s="34" t="s">
        <v>176</v>
      </c>
      <c r="E77" s="35" t="s">
        <v>1</v>
      </c>
      <c r="F77" s="35" t="s">
        <v>283</v>
      </c>
      <c r="G77" s="40">
        <v>44161</v>
      </c>
      <c r="H77" s="34" t="s">
        <v>11</v>
      </c>
      <c r="I77">
        <v>1</v>
      </c>
      <c r="J77">
        <f t="shared" si="2"/>
        <v>8</v>
      </c>
    </row>
    <row r="78" spans="1:10" ht="45" x14ac:dyDescent="0.2">
      <c r="A78" s="33">
        <f t="shared" si="4"/>
        <v>77</v>
      </c>
      <c r="B78" s="34" t="s">
        <v>309</v>
      </c>
      <c r="C78" s="34" t="s">
        <v>179</v>
      </c>
      <c r="D78" s="34" t="s">
        <v>176</v>
      </c>
      <c r="E78" s="35" t="s">
        <v>1</v>
      </c>
      <c r="F78" s="35" t="s">
        <v>283</v>
      </c>
      <c r="G78" s="40">
        <v>44169</v>
      </c>
      <c r="H78" s="34" t="s">
        <v>11</v>
      </c>
      <c r="I78">
        <v>1</v>
      </c>
      <c r="J78">
        <f t="shared" si="2"/>
        <v>8</v>
      </c>
    </row>
    <row r="79" spans="1:10" ht="45" x14ac:dyDescent="0.2">
      <c r="A79" s="33">
        <f t="shared" si="4"/>
        <v>78</v>
      </c>
      <c r="B79" s="34" t="s">
        <v>309</v>
      </c>
      <c r="C79" s="34" t="s">
        <v>179</v>
      </c>
      <c r="D79" s="34" t="s">
        <v>176</v>
      </c>
      <c r="E79" s="35" t="s">
        <v>1</v>
      </c>
      <c r="F79" s="35" t="s">
        <v>283</v>
      </c>
      <c r="G79" s="40">
        <v>44172</v>
      </c>
      <c r="H79" s="34" t="s">
        <v>11</v>
      </c>
      <c r="I79">
        <v>1</v>
      </c>
      <c r="J79">
        <f t="shared" si="2"/>
        <v>8</v>
      </c>
    </row>
    <row r="80" spans="1:10" ht="45" x14ac:dyDescent="0.2">
      <c r="A80" s="33">
        <f t="shared" si="4"/>
        <v>79</v>
      </c>
      <c r="B80" s="34" t="s">
        <v>309</v>
      </c>
      <c r="C80" s="34" t="s">
        <v>179</v>
      </c>
      <c r="D80" s="34" t="s">
        <v>176</v>
      </c>
      <c r="E80" s="34" t="s">
        <v>1</v>
      </c>
      <c r="F80" s="35" t="s">
        <v>283</v>
      </c>
      <c r="G80" s="40">
        <v>44209</v>
      </c>
      <c r="H80" s="34" t="s">
        <v>11</v>
      </c>
      <c r="I80">
        <v>1</v>
      </c>
      <c r="J80">
        <v>8</v>
      </c>
    </row>
    <row r="81" spans="1:10" x14ac:dyDescent="0.2">
      <c r="A81" s="33">
        <f t="shared" si="4"/>
        <v>80</v>
      </c>
      <c r="B81" s="34" t="s">
        <v>303</v>
      </c>
      <c r="C81" s="34" t="s">
        <v>15</v>
      </c>
      <c r="D81" s="34" t="s">
        <v>176</v>
      </c>
      <c r="E81" s="34" t="s">
        <v>2</v>
      </c>
      <c r="F81" s="35" t="s">
        <v>283</v>
      </c>
      <c r="G81" s="40" t="s">
        <v>77</v>
      </c>
      <c r="H81" s="34" t="s">
        <v>11</v>
      </c>
      <c r="I81">
        <v>3</v>
      </c>
      <c r="J81">
        <f>I81*8</f>
        <v>24</v>
      </c>
    </row>
    <row r="82" spans="1:10" x14ac:dyDescent="0.2">
      <c r="A82" s="33">
        <f t="shared" si="4"/>
        <v>81</v>
      </c>
      <c r="B82" s="34" t="s">
        <v>319</v>
      </c>
      <c r="C82" s="34" t="s">
        <v>196</v>
      </c>
      <c r="D82" s="34" t="s">
        <v>197</v>
      </c>
      <c r="E82" s="35" t="s">
        <v>1</v>
      </c>
      <c r="F82" s="35" t="s">
        <v>283</v>
      </c>
      <c r="G82" s="40">
        <v>44224</v>
      </c>
      <c r="H82" s="34" t="s">
        <v>11</v>
      </c>
      <c r="I82">
        <v>1</v>
      </c>
      <c r="J82">
        <v>1</v>
      </c>
    </row>
    <row r="83" spans="1:10" ht="45" x14ac:dyDescent="0.2">
      <c r="A83" s="33">
        <f t="shared" si="4"/>
        <v>82</v>
      </c>
      <c r="B83" s="34" t="s">
        <v>309</v>
      </c>
      <c r="C83" s="34" t="s">
        <v>179</v>
      </c>
      <c r="D83" s="34" t="s">
        <v>176</v>
      </c>
      <c r="E83" s="35" t="s">
        <v>1</v>
      </c>
      <c r="F83" s="35" t="s">
        <v>283</v>
      </c>
      <c r="G83" s="40" t="s">
        <v>78</v>
      </c>
      <c r="H83" s="34" t="s">
        <v>11</v>
      </c>
      <c r="I83">
        <v>1</v>
      </c>
      <c r="J83">
        <v>8</v>
      </c>
    </row>
    <row r="84" spans="1:10" ht="60" x14ac:dyDescent="0.2">
      <c r="A84" s="33">
        <f t="shared" si="4"/>
        <v>83</v>
      </c>
      <c r="B84" s="34" t="s">
        <v>327</v>
      </c>
      <c r="C84" s="34" t="s">
        <v>15</v>
      </c>
      <c r="D84" s="34" t="s">
        <v>198</v>
      </c>
      <c r="E84" s="34" t="s">
        <v>2</v>
      </c>
      <c r="F84" s="35" t="s">
        <v>283</v>
      </c>
      <c r="G84" s="40" t="s">
        <v>79</v>
      </c>
      <c r="H84" s="34" t="s">
        <v>11</v>
      </c>
      <c r="I84">
        <v>3</v>
      </c>
      <c r="J84">
        <f>I84*8</f>
        <v>24</v>
      </c>
    </row>
    <row r="85" spans="1:10" ht="45" x14ac:dyDescent="0.2">
      <c r="A85" s="33">
        <f t="shared" si="4"/>
        <v>84</v>
      </c>
      <c r="B85" s="34" t="s">
        <v>309</v>
      </c>
      <c r="C85" s="34" t="s">
        <v>179</v>
      </c>
      <c r="D85" s="34" t="s">
        <v>176</v>
      </c>
      <c r="E85" s="34" t="s">
        <v>1</v>
      </c>
      <c r="F85" s="35" t="s">
        <v>283</v>
      </c>
      <c r="G85" s="40" t="s">
        <v>80</v>
      </c>
      <c r="H85" s="34" t="s">
        <v>11</v>
      </c>
      <c r="I85">
        <v>1</v>
      </c>
      <c r="J85">
        <v>8</v>
      </c>
    </row>
    <row r="86" spans="1:10" ht="45" x14ac:dyDescent="0.2">
      <c r="A86" s="33">
        <f t="shared" si="4"/>
        <v>85</v>
      </c>
      <c r="B86" s="34" t="s">
        <v>309</v>
      </c>
      <c r="C86" s="34" t="s">
        <v>179</v>
      </c>
      <c r="D86" s="34" t="s">
        <v>176</v>
      </c>
      <c r="E86" s="34" t="s">
        <v>1</v>
      </c>
      <c r="F86" s="35" t="s">
        <v>283</v>
      </c>
      <c r="G86" s="40" t="s">
        <v>81</v>
      </c>
      <c r="H86" s="34" t="s">
        <v>11</v>
      </c>
      <c r="I86">
        <v>1</v>
      </c>
      <c r="J86">
        <v>8</v>
      </c>
    </row>
    <row r="87" spans="1:10" ht="45" x14ac:dyDescent="0.2">
      <c r="A87" s="33">
        <f t="shared" si="4"/>
        <v>86</v>
      </c>
      <c r="B87" s="34" t="s">
        <v>309</v>
      </c>
      <c r="C87" s="34" t="s">
        <v>179</v>
      </c>
      <c r="D87" s="34" t="s">
        <v>176</v>
      </c>
      <c r="E87" s="34" t="s">
        <v>1</v>
      </c>
      <c r="F87" s="35" t="s">
        <v>283</v>
      </c>
      <c r="G87" s="40">
        <v>44269</v>
      </c>
      <c r="H87" s="34" t="s">
        <v>11</v>
      </c>
      <c r="I87">
        <v>1</v>
      </c>
      <c r="J87">
        <v>8</v>
      </c>
    </row>
    <row r="88" spans="1:10" x14ac:dyDescent="0.2">
      <c r="A88" s="33">
        <f t="shared" si="4"/>
        <v>87</v>
      </c>
      <c r="B88" s="34" t="s">
        <v>307</v>
      </c>
      <c r="C88" s="34" t="s">
        <v>15</v>
      </c>
      <c r="D88" s="34" t="s">
        <v>176</v>
      </c>
      <c r="E88" s="34" t="s">
        <v>3</v>
      </c>
      <c r="F88" s="35" t="s">
        <v>283</v>
      </c>
      <c r="G88" s="40" t="s">
        <v>82</v>
      </c>
      <c r="H88" s="34" t="s">
        <v>11</v>
      </c>
      <c r="I88">
        <v>2</v>
      </c>
      <c r="J88">
        <f>I88*8</f>
        <v>16</v>
      </c>
    </row>
    <row r="89" spans="1:10" ht="45" x14ac:dyDescent="0.2">
      <c r="A89" s="33">
        <f t="shared" si="4"/>
        <v>88</v>
      </c>
      <c r="B89" s="34" t="s">
        <v>300</v>
      </c>
      <c r="C89" s="34" t="s">
        <v>15</v>
      </c>
      <c r="D89" s="34" t="s">
        <v>198</v>
      </c>
      <c r="E89" s="34" t="s">
        <v>5</v>
      </c>
      <c r="F89" s="35" t="s">
        <v>283</v>
      </c>
      <c r="G89" s="39">
        <v>44280</v>
      </c>
      <c r="H89" s="34" t="s">
        <v>11</v>
      </c>
      <c r="I89">
        <f>(3/8)*1</f>
        <v>0.375</v>
      </c>
      <c r="J89">
        <v>3</v>
      </c>
    </row>
    <row r="90" spans="1:10" ht="45" x14ac:dyDescent="0.2">
      <c r="A90" s="33">
        <f t="shared" si="4"/>
        <v>89</v>
      </c>
      <c r="B90" s="34" t="s">
        <v>309</v>
      </c>
      <c r="C90" s="34" t="s">
        <v>179</v>
      </c>
      <c r="D90" s="34" t="s">
        <v>176</v>
      </c>
      <c r="E90" s="34" t="s">
        <v>1</v>
      </c>
      <c r="F90" s="35" t="s">
        <v>283</v>
      </c>
      <c r="G90" s="40">
        <v>44291</v>
      </c>
      <c r="H90" s="34" t="s">
        <v>11</v>
      </c>
      <c r="I90">
        <v>1</v>
      </c>
      <c r="J90">
        <v>8</v>
      </c>
    </row>
    <row r="91" spans="1:10" ht="30" x14ac:dyDescent="0.2">
      <c r="A91" s="33">
        <f t="shared" si="4"/>
        <v>90</v>
      </c>
      <c r="B91" s="34" t="s">
        <v>328</v>
      </c>
      <c r="C91" s="34" t="s">
        <v>179</v>
      </c>
      <c r="D91" s="34" t="s">
        <v>199</v>
      </c>
      <c r="E91" s="34" t="s">
        <v>1</v>
      </c>
      <c r="F91" s="35" t="s">
        <v>282</v>
      </c>
      <c r="G91" s="40">
        <v>44298</v>
      </c>
      <c r="H91" s="34" t="s">
        <v>11</v>
      </c>
      <c r="I91">
        <v>1</v>
      </c>
      <c r="J91">
        <v>8</v>
      </c>
    </row>
    <row r="92" spans="1:10" ht="60" x14ac:dyDescent="0.2">
      <c r="A92" s="33">
        <f t="shared" si="4"/>
        <v>91</v>
      </c>
      <c r="B92" s="34" t="s">
        <v>323</v>
      </c>
      <c r="C92" s="34" t="s">
        <v>179</v>
      </c>
      <c r="D92" s="34" t="s">
        <v>199</v>
      </c>
      <c r="E92" s="34" t="s">
        <v>1</v>
      </c>
      <c r="F92" s="35" t="s">
        <v>282</v>
      </c>
      <c r="G92" s="40">
        <v>44299</v>
      </c>
      <c r="H92" s="34" t="s">
        <v>11</v>
      </c>
      <c r="I92">
        <v>1</v>
      </c>
      <c r="J92">
        <v>8</v>
      </c>
    </row>
    <row r="93" spans="1:10" x14ac:dyDescent="0.2">
      <c r="A93" s="33">
        <f t="shared" si="4"/>
        <v>92</v>
      </c>
      <c r="B93" s="34" t="s">
        <v>319</v>
      </c>
      <c r="C93" s="34" t="s">
        <v>179</v>
      </c>
      <c r="D93" s="34" t="s">
        <v>200</v>
      </c>
      <c r="E93" s="34" t="s">
        <v>1</v>
      </c>
      <c r="F93" s="35" t="s">
        <v>283</v>
      </c>
      <c r="G93" s="40">
        <v>44298</v>
      </c>
      <c r="H93" s="34" t="s">
        <v>11</v>
      </c>
      <c r="I93">
        <v>1</v>
      </c>
      <c r="J93">
        <v>8</v>
      </c>
    </row>
    <row r="94" spans="1:10" x14ac:dyDescent="0.2">
      <c r="A94" s="33">
        <f t="shared" si="4"/>
        <v>93</v>
      </c>
      <c r="B94" s="34" t="s">
        <v>303</v>
      </c>
      <c r="C94" s="34" t="s">
        <v>15</v>
      </c>
      <c r="D94" s="34" t="s">
        <v>176</v>
      </c>
      <c r="E94" s="34" t="s">
        <v>3</v>
      </c>
      <c r="F94" s="35" t="s">
        <v>283</v>
      </c>
      <c r="G94" s="40" t="s">
        <v>88</v>
      </c>
      <c r="H94" s="34" t="s">
        <v>11</v>
      </c>
      <c r="I94">
        <v>2</v>
      </c>
      <c r="J94">
        <f>I94*8</f>
        <v>16</v>
      </c>
    </row>
    <row r="95" spans="1:10" ht="45" x14ac:dyDescent="0.2">
      <c r="A95" s="33">
        <f t="shared" si="4"/>
        <v>94</v>
      </c>
      <c r="B95" s="34" t="s">
        <v>309</v>
      </c>
      <c r="C95" s="34" t="s">
        <v>179</v>
      </c>
      <c r="D95" s="34" t="s">
        <v>176</v>
      </c>
      <c r="E95" s="34" t="s">
        <v>1</v>
      </c>
      <c r="F95" s="35" t="s">
        <v>283</v>
      </c>
      <c r="G95" s="40">
        <v>44347</v>
      </c>
      <c r="H95" s="34" t="s">
        <v>11</v>
      </c>
      <c r="I95">
        <v>1</v>
      </c>
      <c r="J95">
        <v>8</v>
      </c>
    </row>
    <row r="96" spans="1:10" ht="45" x14ac:dyDescent="0.2">
      <c r="A96" s="33">
        <f t="shared" si="4"/>
        <v>95</v>
      </c>
      <c r="B96" s="34" t="s">
        <v>309</v>
      </c>
      <c r="C96" s="34" t="s">
        <v>179</v>
      </c>
      <c r="D96" s="34" t="s">
        <v>176</v>
      </c>
      <c r="E96" s="34" t="s">
        <v>1</v>
      </c>
      <c r="F96" s="35" t="s">
        <v>283</v>
      </c>
      <c r="G96" s="40">
        <v>44351</v>
      </c>
      <c r="H96" s="34" t="s">
        <v>11</v>
      </c>
      <c r="I96">
        <v>1</v>
      </c>
      <c r="J96">
        <v>8</v>
      </c>
    </row>
    <row r="97" spans="1:10" ht="60" x14ac:dyDescent="0.2">
      <c r="A97" s="33">
        <f t="shared" si="4"/>
        <v>96</v>
      </c>
      <c r="B97" s="34" t="s">
        <v>327</v>
      </c>
      <c r="C97" s="34" t="s">
        <v>186</v>
      </c>
      <c r="D97" s="34" t="s">
        <v>98</v>
      </c>
      <c r="E97" s="34" t="s">
        <v>1</v>
      </c>
      <c r="F97" s="35" t="s">
        <v>283</v>
      </c>
      <c r="G97" s="40" t="s">
        <v>91</v>
      </c>
      <c r="H97" s="34" t="s">
        <v>11</v>
      </c>
      <c r="I97">
        <v>1</v>
      </c>
      <c r="J97">
        <v>8</v>
      </c>
    </row>
    <row r="98" spans="1:10" ht="45" x14ac:dyDescent="0.2">
      <c r="A98" s="33">
        <f t="shared" si="4"/>
        <v>97</v>
      </c>
      <c r="B98" s="34" t="s">
        <v>335</v>
      </c>
      <c r="C98" s="34" t="s">
        <v>186</v>
      </c>
      <c r="D98" s="34" t="s">
        <v>98</v>
      </c>
      <c r="E98" s="34" t="s">
        <v>1</v>
      </c>
      <c r="F98" s="35" t="s">
        <v>283</v>
      </c>
      <c r="G98" s="40" t="s">
        <v>92</v>
      </c>
      <c r="H98" s="34" t="s">
        <v>11</v>
      </c>
      <c r="I98">
        <v>1</v>
      </c>
      <c r="J98">
        <v>8</v>
      </c>
    </row>
    <row r="99" spans="1:10" x14ac:dyDescent="0.2">
      <c r="A99" s="33">
        <f t="shared" si="4"/>
        <v>98</v>
      </c>
      <c r="B99" s="34" t="s">
        <v>303</v>
      </c>
      <c r="C99" s="34" t="s">
        <v>15</v>
      </c>
      <c r="D99" s="34" t="s">
        <v>176</v>
      </c>
      <c r="E99" s="34" t="s">
        <v>20</v>
      </c>
      <c r="F99" s="35" t="s">
        <v>283</v>
      </c>
      <c r="G99" s="40" t="s">
        <v>89</v>
      </c>
      <c r="H99" s="34" t="s">
        <v>11</v>
      </c>
      <c r="I99">
        <v>3</v>
      </c>
      <c r="J99">
        <f>I99*8</f>
        <v>24</v>
      </c>
    </row>
    <row r="100" spans="1:10" ht="45" x14ac:dyDescent="0.2">
      <c r="A100" s="33">
        <f t="shared" si="4"/>
        <v>99</v>
      </c>
      <c r="B100" s="34" t="s">
        <v>309</v>
      </c>
      <c r="C100" s="34" t="s">
        <v>179</v>
      </c>
      <c r="D100" s="34" t="s">
        <v>176</v>
      </c>
      <c r="E100" s="34" t="s">
        <v>1</v>
      </c>
      <c r="F100" s="35" t="s">
        <v>283</v>
      </c>
      <c r="G100" s="40">
        <v>44366</v>
      </c>
      <c r="H100" s="34" t="s">
        <v>11</v>
      </c>
      <c r="I100">
        <v>1</v>
      </c>
      <c r="J100">
        <v>8</v>
      </c>
    </row>
    <row r="101" spans="1:10" ht="45" x14ac:dyDescent="0.2">
      <c r="A101" s="33">
        <f t="shared" si="4"/>
        <v>100</v>
      </c>
      <c r="B101" s="34" t="s">
        <v>309</v>
      </c>
      <c r="C101" s="34" t="s">
        <v>179</v>
      </c>
      <c r="D101" s="34" t="s">
        <v>176</v>
      </c>
      <c r="E101" s="34" t="s">
        <v>1</v>
      </c>
      <c r="F101" s="35" t="s">
        <v>283</v>
      </c>
      <c r="G101" s="40">
        <v>44373</v>
      </c>
      <c r="H101" s="34" t="s">
        <v>11</v>
      </c>
      <c r="I101">
        <v>1</v>
      </c>
      <c r="J101">
        <v>8</v>
      </c>
    </row>
    <row r="102" spans="1:10" x14ac:dyDescent="0.2">
      <c r="A102" s="33">
        <f t="shared" si="4"/>
        <v>101</v>
      </c>
      <c r="B102" s="34" t="s">
        <v>303</v>
      </c>
      <c r="C102" s="34" t="s">
        <v>15</v>
      </c>
      <c r="D102" s="34" t="s">
        <v>176</v>
      </c>
      <c r="E102" s="34" t="s">
        <v>20</v>
      </c>
      <c r="F102" s="35" t="s">
        <v>283</v>
      </c>
      <c r="G102" s="40" t="s">
        <v>90</v>
      </c>
      <c r="H102" s="34" t="s">
        <v>11</v>
      </c>
      <c r="I102">
        <v>3</v>
      </c>
      <c r="J102">
        <f>I102*8</f>
        <v>24</v>
      </c>
    </row>
    <row r="103" spans="1:10" ht="60" x14ac:dyDescent="0.2">
      <c r="A103" s="33">
        <f t="shared" si="4"/>
        <v>102</v>
      </c>
      <c r="B103" s="34" t="s">
        <v>327</v>
      </c>
      <c r="C103" s="34" t="s">
        <v>190</v>
      </c>
      <c r="D103" s="34" t="s">
        <v>176</v>
      </c>
      <c r="E103" s="34" t="s">
        <v>1</v>
      </c>
      <c r="F103" s="35" t="s">
        <v>283</v>
      </c>
      <c r="G103" s="40">
        <v>44390</v>
      </c>
      <c r="H103" s="34" t="s">
        <v>11</v>
      </c>
      <c r="I103">
        <v>1</v>
      </c>
      <c r="J103">
        <v>8</v>
      </c>
    </row>
    <row r="104" spans="1:10" ht="45" x14ac:dyDescent="0.2">
      <c r="A104" s="33">
        <f t="shared" si="4"/>
        <v>103</v>
      </c>
      <c r="B104" s="34" t="s">
        <v>309</v>
      </c>
      <c r="C104" s="34" t="s">
        <v>179</v>
      </c>
      <c r="D104" s="34" t="s">
        <v>176</v>
      </c>
      <c r="E104" s="34" t="s">
        <v>1</v>
      </c>
      <c r="F104" s="35" t="s">
        <v>283</v>
      </c>
      <c r="G104" s="40">
        <v>44366</v>
      </c>
      <c r="H104" s="34" t="s">
        <v>11</v>
      </c>
      <c r="I104">
        <v>1</v>
      </c>
      <c r="J104">
        <v>8</v>
      </c>
    </row>
    <row r="105" spans="1:10" ht="45" x14ac:dyDescent="0.2">
      <c r="A105" s="33">
        <f t="shared" si="4"/>
        <v>104</v>
      </c>
      <c r="B105" s="34" t="s">
        <v>309</v>
      </c>
      <c r="C105" s="34" t="s">
        <v>179</v>
      </c>
      <c r="D105" s="34" t="s">
        <v>176</v>
      </c>
      <c r="E105" s="34" t="s">
        <v>1</v>
      </c>
      <c r="F105" s="35" t="s">
        <v>283</v>
      </c>
      <c r="G105" s="40">
        <v>44373</v>
      </c>
      <c r="H105" s="34" t="s">
        <v>11</v>
      </c>
      <c r="I105">
        <v>1</v>
      </c>
      <c r="J105">
        <v>8</v>
      </c>
    </row>
    <row r="106" spans="1:10" ht="45" x14ac:dyDescent="0.2">
      <c r="A106" s="33">
        <f t="shared" si="4"/>
        <v>105</v>
      </c>
      <c r="B106" s="34" t="s">
        <v>309</v>
      </c>
      <c r="C106" s="34" t="s">
        <v>179</v>
      </c>
      <c r="D106" s="34" t="s">
        <v>176</v>
      </c>
      <c r="E106" s="34" t="s">
        <v>1</v>
      </c>
      <c r="F106" s="35" t="s">
        <v>283</v>
      </c>
      <c r="G106" s="40">
        <v>44390</v>
      </c>
      <c r="H106" s="34" t="s">
        <v>11</v>
      </c>
      <c r="I106">
        <v>1</v>
      </c>
      <c r="J106">
        <v>8</v>
      </c>
    </row>
    <row r="107" spans="1:10" x14ac:dyDescent="0.2">
      <c r="A107" s="33">
        <f t="shared" si="4"/>
        <v>106</v>
      </c>
      <c r="B107" s="34" t="s">
        <v>303</v>
      </c>
      <c r="C107" s="34" t="s">
        <v>15</v>
      </c>
      <c r="D107" s="34" t="s">
        <v>176</v>
      </c>
      <c r="E107" s="34" t="s">
        <v>20</v>
      </c>
      <c r="F107" s="35" t="s">
        <v>283</v>
      </c>
      <c r="G107" s="40" t="s">
        <v>102</v>
      </c>
      <c r="H107" s="34" t="s">
        <v>11</v>
      </c>
      <c r="I107">
        <v>3</v>
      </c>
      <c r="J107">
        <f>I107*8</f>
        <v>24</v>
      </c>
    </row>
    <row r="108" spans="1:10" ht="45" x14ac:dyDescent="0.2">
      <c r="A108" s="33">
        <f t="shared" si="4"/>
        <v>107</v>
      </c>
      <c r="B108" s="34" t="s">
        <v>309</v>
      </c>
      <c r="C108" s="34" t="s">
        <v>179</v>
      </c>
      <c r="D108" s="34" t="s">
        <v>176</v>
      </c>
      <c r="E108" s="34" t="s">
        <v>1</v>
      </c>
      <c r="F108" s="35" t="s">
        <v>283</v>
      </c>
      <c r="G108" s="40">
        <v>44405</v>
      </c>
      <c r="H108" s="34" t="s">
        <v>11</v>
      </c>
      <c r="I108">
        <v>1</v>
      </c>
      <c r="J108">
        <v>8</v>
      </c>
    </row>
    <row r="109" spans="1:10" x14ac:dyDescent="0.2">
      <c r="A109" s="33">
        <f t="shared" si="4"/>
        <v>108</v>
      </c>
      <c r="B109" s="34" t="s">
        <v>303</v>
      </c>
      <c r="C109" s="34" t="s">
        <v>179</v>
      </c>
      <c r="D109" s="34" t="s">
        <v>176</v>
      </c>
      <c r="E109" s="34" t="s">
        <v>20</v>
      </c>
      <c r="F109" s="35" t="s">
        <v>283</v>
      </c>
      <c r="G109" s="40" t="s">
        <v>100</v>
      </c>
      <c r="H109" s="34" t="s">
        <v>11</v>
      </c>
      <c r="I109">
        <v>3</v>
      </c>
      <c r="J109">
        <f>I109*8</f>
        <v>24</v>
      </c>
    </row>
    <row r="110" spans="1:10" ht="45" x14ac:dyDescent="0.2">
      <c r="A110" s="33">
        <f t="shared" si="4"/>
        <v>109</v>
      </c>
      <c r="B110" s="34" t="s">
        <v>309</v>
      </c>
      <c r="C110" s="34" t="s">
        <v>179</v>
      </c>
      <c r="D110" s="34" t="s">
        <v>176</v>
      </c>
      <c r="E110" s="34" t="s">
        <v>1</v>
      </c>
      <c r="F110" s="35" t="s">
        <v>283</v>
      </c>
      <c r="G110" s="40">
        <v>44413</v>
      </c>
      <c r="H110" s="34" t="s">
        <v>11</v>
      </c>
      <c r="I110">
        <v>1</v>
      </c>
      <c r="J110">
        <v>8</v>
      </c>
    </row>
    <row r="111" spans="1:10" ht="45" x14ac:dyDescent="0.2">
      <c r="A111" s="33">
        <f t="shared" si="4"/>
        <v>110</v>
      </c>
      <c r="B111" s="34" t="s">
        <v>309</v>
      </c>
      <c r="C111" s="34" t="s">
        <v>179</v>
      </c>
      <c r="D111" s="34" t="s">
        <v>176</v>
      </c>
      <c r="E111" s="34" t="s">
        <v>1</v>
      </c>
      <c r="F111" s="35" t="s">
        <v>283</v>
      </c>
      <c r="G111" s="40">
        <v>44422</v>
      </c>
      <c r="H111" s="34" t="s">
        <v>11</v>
      </c>
      <c r="I111">
        <v>1</v>
      </c>
      <c r="J111">
        <v>8</v>
      </c>
    </row>
    <row r="112" spans="1:10" x14ac:dyDescent="0.2">
      <c r="A112" s="33">
        <f t="shared" si="4"/>
        <v>111</v>
      </c>
      <c r="B112" s="34" t="s">
        <v>303</v>
      </c>
      <c r="C112" s="34" t="s">
        <v>15</v>
      </c>
      <c r="D112" s="34" t="s">
        <v>176</v>
      </c>
      <c r="E112" s="34" t="s">
        <v>20</v>
      </c>
      <c r="F112" s="35" t="s">
        <v>283</v>
      </c>
      <c r="G112" s="40" t="s">
        <v>101</v>
      </c>
      <c r="H112" s="34" t="s">
        <v>11</v>
      </c>
      <c r="I112">
        <v>3</v>
      </c>
      <c r="J112">
        <f>I112*8</f>
        <v>24</v>
      </c>
    </row>
    <row r="113" spans="1:10" ht="45" x14ac:dyDescent="0.2">
      <c r="A113" s="33">
        <f t="shared" si="4"/>
        <v>112</v>
      </c>
      <c r="B113" s="34" t="s">
        <v>309</v>
      </c>
      <c r="C113" s="34" t="s">
        <v>179</v>
      </c>
      <c r="D113" s="34" t="s">
        <v>176</v>
      </c>
      <c r="E113" s="34" t="s">
        <v>1</v>
      </c>
      <c r="F113" s="35" t="s">
        <v>283</v>
      </c>
      <c r="G113" s="40">
        <v>44439</v>
      </c>
      <c r="H113" s="34" t="s">
        <v>11</v>
      </c>
      <c r="I113">
        <v>1</v>
      </c>
      <c r="J113">
        <v>8</v>
      </c>
    </row>
    <row r="114" spans="1:10" ht="30" x14ac:dyDescent="0.2">
      <c r="A114" s="33">
        <f t="shared" si="4"/>
        <v>113</v>
      </c>
      <c r="B114" s="34" t="s">
        <v>304</v>
      </c>
      <c r="C114" s="34" t="s">
        <v>15</v>
      </c>
      <c r="D114" s="34" t="s">
        <v>176</v>
      </c>
      <c r="E114" s="34" t="s">
        <v>20</v>
      </c>
      <c r="F114" s="35" t="s">
        <v>283</v>
      </c>
      <c r="G114" s="40" t="s">
        <v>103</v>
      </c>
      <c r="H114" s="34" t="s">
        <v>11</v>
      </c>
      <c r="I114">
        <v>3</v>
      </c>
      <c r="J114">
        <f>I114*8</f>
        <v>24</v>
      </c>
    </row>
    <row r="115" spans="1:10" ht="45" x14ac:dyDescent="0.2">
      <c r="A115" s="33">
        <f t="shared" si="4"/>
        <v>114</v>
      </c>
      <c r="B115" s="34" t="s">
        <v>309</v>
      </c>
      <c r="C115" s="34" t="s">
        <v>179</v>
      </c>
      <c r="D115" s="34" t="s">
        <v>176</v>
      </c>
      <c r="E115" s="34" t="s">
        <v>1</v>
      </c>
      <c r="F115" s="35" t="s">
        <v>283</v>
      </c>
      <c r="G115" s="40">
        <v>44455</v>
      </c>
      <c r="H115" s="34" t="s">
        <v>11</v>
      </c>
      <c r="I115">
        <v>1</v>
      </c>
      <c r="J115">
        <v>8</v>
      </c>
    </row>
    <row r="116" spans="1:10" ht="45" x14ac:dyDescent="0.2">
      <c r="A116" s="33">
        <f t="shared" si="4"/>
        <v>115</v>
      </c>
      <c r="B116" s="34" t="s">
        <v>309</v>
      </c>
      <c r="C116" s="34" t="s">
        <v>179</v>
      </c>
      <c r="D116" s="34" t="s">
        <v>176</v>
      </c>
      <c r="E116" s="34" t="s">
        <v>1</v>
      </c>
      <c r="F116" s="35" t="s">
        <v>283</v>
      </c>
      <c r="G116" s="40">
        <v>44471</v>
      </c>
      <c r="H116" s="34" t="s">
        <v>11</v>
      </c>
      <c r="I116">
        <v>1</v>
      </c>
      <c r="J116">
        <v>8</v>
      </c>
    </row>
    <row r="117" spans="1:10" ht="30" x14ac:dyDescent="0.2">
      <c r="A117" s="43">
        <f t="shared" si="4"/>
        <v>116</v>
      </c>
      <c r="B117" s="34" t="s">
        <v>304</v>
      </c>
      <c r="C117" s="34" t="s">
        <v>15</v>
      </c>
      <c r="D117" s="34" t="s">
        <v>176</v>
      </c>
      <c r="E117" s="34" t="s">
        <v>20</v>
      </c>
      <c r="F117" s="35" t="s">
        <v>283</v>
      </c>
      <c r="G117" s="40" t="s">
        <v>104</v>
      </c>
      <c r="H117" s="34" t="s">
        <v>11</v>
      </c>
      <c r="I117">
        <v>3</v>
      </c>
      <c r="J117">
        <f>I117*8</f>
        <v>24</v>
      </c>
    </row>
    <row r="118" spans="1:10" ht="45" x14ac:dyDescent="0.2">
      <c r="A118" s="33">
        <f t="shared" si="4"/>
        <v>117</v>
      </c>
      <c r="B118" s="34" t="s">
        <v>309</v>
      </c>
      <c r="C118" s="34" t="s">
        <v>179</v>
      </c>
      <c r="D118" s="34" t="s">
        <v>176</v>
      </c>
      <c r="E118" s="34" t="s">
        <v>1</v>
      </c>
      <c r="F118" s="35" t="s">
        <v>283</v>
      </c>
      <c r="G118" s="40">
        <v>44499</v>
      </c>
      <c r="H118" s="34" t="s">
        <v>11</v>
      </c>
      <c r="I118">
        <v>1</v>
      </c>
      <c r="J118">
        <v>8</v>
      </c>
    </row>
    <row r="119" spans="1:10" ht="30" x14ac:dyDescent="0.2">
      <c r="A119" s="33">
        <f t="shared" si="4"/>
        <v>118</v>
      </c>
      <c r="B119" s="34" t="s">
        <v>304</v>
      </c>
      <c r="C119" s="34" t="s">
        <v>15</v>
      </c>
      <c r="D119" s="34" t="s">
        <v>176</v>
      </c>
      <c r="E119" s="34" t="s">
        <v>20</v>
      </c>
      <c r="F119" s="35" t="s">
        <v>283</v>
      </c>
      <c r="G119" s="40" t="s">
        <v>105</v>
      </c>
      <c r="H119" s="34" t="s">
        <v>11</v>
      </c>
      <c r="I119">
        <v>3</v>
      </c>
      <c r="J119">
        <f t="shared" ref="J119:J128" si="5">I119*8</f>
        <v>24</v>
      </c>
    </row>
    <row r="120" spans="1:10" ht="60" x14ac:dyDescent="0.2">
      <c r="A120" s="33">
        <f t="shared" si="4"/>
        <v>119</v>
      </c>
      <c r="B120" s="34" t="s">
        <v>327</v>
      </c>
      <c r="C120" s="34" t="s">
        <v>201</v>
      </c>
      <c r="D120" s="34" t="s">
        <v>176</v>
      </c>
      <c r="E120" s="34" t="s">
        <v>106</v>
      </c>
      <c r="F120" s="34" t="s">
        <v>282</v>
      </c>
      <c r="G120" s="40" t="s">
        <v>107</v>
      </c>
      <c r="H120" s="34" t="s">
        <v>11</v>
      </c>
      <c r="I120">
        <v>1</v>
      </c>
      <c r="J120">
        <f t="shared" si="5"/>
        <v>8</v>
      </c>
    </row>
    <row r="121" spans="1:10" ht="60" x14ac:dyDescent="0.2">
      <c r="A121" s="33">
        <f t="shared" si="4"/>
        <v>120</v>
      </c>
      <c r="B121" s="34" t="s">
        <v>327</v>
      </c>
      <c r="C121" s="34" t="s">
        <v>190</v>
      </c>
      <c r="D121" s="34" t="s">
        <v>176</v>
      </c>
      <c r="E121" s="34" t="s">
        <v>1</v>
      </c>
      <c r="F121" s="35" t="s">
        <v>283</v>
      </c>
      <c r="G121" s="40">
        <v>44523</v>
      </c>
      <c r="H121" s="34" t="s">
        <v>11</v>
      </c>
      <c r="I121">
        <v>1</v>
      </c>
      <c r="J121">
        <f t="shared" si="5"/>
        <v>8</v>
      </c>
    </row>
    <row r="122" spans="1:10" ht="45" x14ac:dyDescent="0.2">
      <c r="A122" s="33">
        <f t="shared" si="4"/>
        <v>121</v>
      </c>
      <c r="B122" s="34" t="s">
        <v>326</v>
      </c>
      <c r="C122" s="34" t="s">
        <v>203</v>
      </c>
      <c r="D122" s="34" t="s">
        <v>202</v>
      </c>
      <c r="E122" s="34" t="s">
        <v>3</v>
      </c>
      <c r="F122" s="35" t="s">
        <v>283</v>
      </c>
      <c r="G122" s="40" t="s">
        <v>115</v>
      </c>
      <c r="H122" s="34" t="s">
        <v>11</v>
      </c>
      <c r="I122">
        <v>2</v>
      </c>
      <c r="J122">
        <f t="shared" si="5"/>
        <v>16</v>
      </c>
    </row>
    <row r="123" spans="1:10" ht="30" x14ac:dyDescent="0.2">
      <c r="A123" s="33">
        <f t="shared" si="4"/>
        <v>122</v>
      </c>
      <c r="B123" s="34" t="s">
        <v>331</v>
      </c>
      <c r="C123" s="34" t="s">
        <v>15</v>
      </c>
      <c r="D123" s="34" t="s">
        <v>359</v>
      </c>
      <c r="E123" s="34" t="s">
        <v>1</v>
      </c>
      <c r="F123" s="35" t="s">
        <v>283</v>
      </c>
      <c r="G123" s="40">
        <v>44533</v>
      </c>
      <c r="H123" s="34" t="s">
        <v>11</v>
      </c>
      <c r="I123">
        <v>1</v>
      </c>
      <c r="J123">
        <f t="shared" ref="J123" si="6">I123*8</f>
        <v>8</v>
      </c>
    </row>
    <row r="124" spans="1:10" ht="45" x14ac:dyDescent="0.2">
      <c r="A124" s="33">
        <f t="shared" si="4"/>
        <v>123</v>
      </c>
      <c r="B124" s="34" t="s">
        <v>309</v>
      </c>
      <c r="C124" s="34" t="s">
        <v>179</v>
      </c>
      <c r="D124" s="34" t="s">
        <v>176</v>
      </c>
      <c r="E124" s="34" t="s">
        <v>1</v>
      </c>
      <c r="F124" s="35" t="s">
        <v>283</v>
      </c>
      <c r="G124" s="40">
        <v>44540</v>
      </c>
      <c r="H124" s="34" t="s">
        <v>11</v>
      </c>
      <c r="I124">
        <v>1</v>
      </c>
      <c r="J124">
        <f t="shared" si="5"/>
        <v>8</v>
      </c>
    </row>
    <row r="125" spans="1:10" ht="30" x14ac:dyDescent="0.2">
      <c r="A125" s="33">
        <f t="shared" si="4"/>
        <v>124</v>
      </c>
      <c r="B125" s="34" t="s">
        <v>304</v>
      </c>
      <c r="C125" s="34" t="s">
        <v>15</v>
      </c>
      <c r="D125" s="34" t="s">
        <v>176</v>
      </c>
      <c r="E125" s="34" t="s">
        <v>20</v>
      </c>
      <c r="F125" s="35" t="s">
        <v>283</v>
      </c>
      <c r="G125" s="40" t="s">
        <v>116</v>
      </c>
      <c r="H125" s="34" t="s">
        <v>11</v>
      </c>
      <c r="I125">
        <v>3</v>
      </c>
      <c r="J125">
        <f t="shared" si="5"/>
        <v>24</v>
      </c>
    </row>
    <row r="126" spans="1:10" ht="45" x14ac:dyDescent="0.2">
      <c r="A126" s="33">
        <f t="shared" si="4"/>
        <v>125</v>
      </c>
      <c r="B126" s="34" t="s">
        <v>328</v>
      </c>
      <c r="C126" s="34" t="s">
        <v>205</v>
      </c>
      <c r="D126" s="34" t="s">
        <v>263</v>
      </c>
      <c r="E126" s="34" t="s">
        <v>1</v>
      </c>
      <c r="F126" s="34" t="s">
        <v>282</v>
      </c>
      <c r="G126" s="40">
        <v>44553</v>
      </c>
      <c r="H126" s="34" t="s">
        <v>286</v>
      </c>
      <c r="I126">
        <v>1</v>
      </c>
      <c r="J126">
        <f t="shared" si="5"/>
        <v>8</v>
      </c>
    </row>
    <row r="127" spans="1:10" x14ac:dyDescent="0.2">
      <c r="A127" s="33">
        <f t="shared" si="4"/>
        <v>126</v>
      </c>
      <c r="B127" s="34" t="s">
        <v>305</v>
      </c>
      <c r="C127" s="34" t="s">
        <v>203</v>
      </c>
      <c r="D127" s="34" t="s">
        <v>176</v>
      </c>
      <c r="E127" s="34" t="s">
        <v>117</v>
      </c>
      <c r="F127" s="35" t="s">
        <v>283</v>
      </c>
      <c r="G127" s="40" t="s">
        <v>118</v>
      </c>
      <c r="H127" s="34" t="s">
        <v>11</v>
      </c>
      <c r="I127">
        <v>2</v>
      </c>
      <c r="J127">
        <f t="shared" si="5"/>
        <v>16</v>
      </c>
    </row>
    <row r="128" spans="1:10" ht="45" x14ac:dyDescent="0.2">
      <c r="A128" s="33">
        <f t="shared" si="4"/>
        <v>127</v>
      </c>
      <c r="B128" s="34" t="s">
        <v>309</v>
      </c>
      <c r="C128" s="34" t="s">
        <v>179</v>
      </c>
      <c r="D128" s="34" t="s">
        <v>176</v>
      </c>
      <c r="E128" s="34" t="s">
        <v>1</v>
      </c>
      <c r="F128" s="35" t="s">
        <v>283</v>
      </c>
      <c r="G128" s="40" t="s">
        <v>130</v>
      </c>
      <c r="H128" s="34" t="s">
        <v>11</v>
      </c>
      <c r="I128">
        <v>1</v>
      </c>
      <c r="J128">
        <f t="shared" si="5"/>
        <v>8</v>
      </c>
    </row>
    <row r="129" spans="1:10" ht="45" x14ac:dyDescent="0.2">
      <c r="A129" s="33">
        <f t="shared" si="4"/>
        <v>128</v>
      </c>
      <c r="B129" s="34" t="s">
        <v>309</v>
      </c>
      <c r="C129" s="34" t="s">
        <v>15</v>
      </c>
      <c r="D129" s="34" t="s">
        <v>123</v>
      </c>
      <c r="E129" s="34" t="s">
        <v>1</v>
      </c>
      <c r="F129" s="34" t="s">
        <v>282</v>
      </c>
      <c r="G129" s="40">
        <v>44582</v>
      </c>
      <c r="H129" s="34"/>
      <c r="I129">
        <v>1</v>
      </c>
      <c r="J129">
        <f>I129*8</f>
        <v>8</v>
      </c>
    </row>
    <row r="130" spans="1:10" ht="45" x14ac:dyDescent="0.2">
      <c r="A130" s="33">
        <f t="shared" si="4"/>
        <v>129</v>
      </c>
      <c r="B130" s="34" t="s">
        <v>309</v>
      </c>
      <c r="C130" s="34" t="s">
        <v>179</v>
      </c>
      <c r="D130" s="34" t="s">
        <v>176</v>
      </c>
      <c r="E130" s="34" t="s">
        <v>1</v>
      </c>
      <c r="F130" s="35" t="s">
        <v>283</v>
      </c>
      <c r="G130" s="40" t="s">
        <v>133</v>
      </c>
      <c r="H130" s="34" t="s">
        <v>11</v>
      </c>
      <c r="I130">
        <v>1</v>
      </c>
      <c r="J130">
        <f>I130*8</f>
        <v>8</v>
      </c>
    </row>
    <row r="131" spans="1:10" x14ac:dyDescent="0.2">
      <c r="A131" s="33">
        <f t="shared" si="4"/>
        <v>130</v>
      </c>
      <c r="B131" s="34" t="s">
        <v>319</v>
      </c>
      <c r="C131" s="34" t="s">
        <v>196</v>
      </c>
      <c r="D131" s="34" t="s">
        <v>176</v>
      </c>
      <c r="E131" s="35" t="s">
        <v>1</v>
      </c>
      <c r="F131" s="35" t="s">
        <v>283</v>
      </c>
      <c r="G131" s="40">
        <v>44599</v>
      </c>
      <c r="H131" s="34" t="s">
        <v>11</v>
      </c>
      <c r="I131">
        <v>1</v>
      </c>
      <c r="J131">
        <f t="shared" ref="J131:J158" si="7">I131*8</f>
        <v>8</v>
      </c>
    </row>
    <row r="132" spans="1:10" x14ac:dyDescent="0.2">
      <c r="A132" s="33">
        <f t="shared" si="4"/>
        <v>131</v>
      </c>
      <c r="B132" s="34" t="s">
        <v>315</v>
      </c>
      <c r="C132" s="34" t="s">
        <v>196</v>
      </c>
      <c r="D132" s="34" t="s">
        <v>176</v>
      </c>
      <c r="E132" s="35" t="s">
        <v>1</v>
      </c>
      <c r="F132" s="35" t="s">
        <v>283</v>
      </c>
      <c r="G132" s="40">
        <v>44600</v>
      </c>
      <c r="H132" s="34" t="s">
        <v>11</v>
      </c>
      <c r="I132">
        <v>1</v>
      </c>
      <c r="J132">
        <f t="shared" si="7"/>
        <v>8</v>
      </c>
    </row>
    <row r="133" spans="1:10" ht="45" x14ac:dyDescent="0.2">
      <c r="A133" s="33">
        <f t="shared" ref="A133:A196" si="8">A132+1</f>
        <v>132</v>
      </c>
      <c r="B133" s="34" t="s">
        <v>309</v>
      </c>
      <c r="C133" s="34" t="s">
        <v>179</v>
      </c>
      <c r="D133" s="34" t="s">
        <v>176</v>
      </c>
      <c r="E133" s="34" t="s">
        <v>1</v>
      </c>
      <c r="F133" s="35" t="s">
        <v>283</v>
      </c>
      <c r="G133" s="40" t="s">
        <v>136</v>
      </c>
      <c r="H133" s="34" t="s">
        <v>11</v>
      </c>
      <c r="I133">
        <v>1</v>
      </c>
      <c r="J133">
        <f t="shared" si="7"/>
        <v>8</v>
      </c>
    </row>
    <row r="134" spans="1:10" ht="30" x14ac:dyDescent="0.2">
      <c r="A134" s="33">
        <f t="shared" si="8"/>
        <v>133</v>
      </c>
      <c r="B134" s="34" t="s">
        <v>304</v>
      </c>
      <c r="C134" s="34" t="s">
        <v>15</v>
      </c>
      <c r="D134" s="34" t="s">
        <v>176</v>
      </c>
      <c r="E134" s="34" t="s">
        <v>20</v>
      </c>
      <c r="F134" s="35" t="s">
        <v>283</v>
      </c>
      <c r="G134" s="40" t="s">
        <v>137</v>
      </c>
      <c r="H134" s="34" t="s">
        <v>11</v>
      </c>
      <c r="I134">
        <v>3</v>
      </c>
      <c r="J134">
        <f t="shared" si="7"/>
        <v>24</v>
      </c>
    </row>
    <row r="135" spans="1:10" ht="30" x14ac:dyDescent="0.2">
      <c r="A135" s="33">
        <f t="shared" si="8"/>
        <v>134</v>
      </c>
      <c r="B135" s="34" t="s">
        <v>306</v>
      </c>
      <c r="C135" s="34" t="s">
        <v>203</v>
      </c>
      <c r="D135" s="34" t="s">
        <v>176</v>
      </c>
      <c r="E135" s="34" t="s">
        <v>117</v>
      </c>
      <c r="F135" s="35" t="s">
        <v>283</v>
      </c>
      <c r="G135" s="40" t="s">
        <v>135</v>
      </c>
      <c r="H135" s="34" t="s">
        <v>11</v>
      </c>
      <c r="I135">
        <v>2</v>
      </c>
      <c r="J135">
        <f t="shared" si="7"/>
        <v>16</v>
      </c>
    </row>
    <row r="136" spans="1:10" ht="45" x14ac:dyDescent="0.2">
      <c r="A136" s="33">
        <f t="shared" si="8"/>
        <v>135</v>
      </c>
      <c r="B136" s="34" t="s">
        <v>309</v>
      </c>
      <c r="C136" s="34" t="s">
        <v>179</v>
      </c>
      <c r="D136" s="34" t="s">
        <v>176</v>
      </c>
      <c r="E136" s="34" t="s">
        <v>1</v>
      </c>
      <c r="F136" s="35" t="s">
        <v>283</v>
      </c>
      <c r="G136" s="40">
        <v>44630</v>
      </c>
      <c r="H136" s="34" t="s">
        <v>11</v>
      </c>
      <c r="I136">
        <v>1</v>
      </c>
      <c r="J136">
        <f t="shared" si="7"/>
        <v>8</v>
      </c>
    </row>
    <row r="137" spans="1:10" ht="45" x14ac:dyDescent="0.2">
      <c r="A137" s="33">
        <f t="shared" si="8"/>
        <v>136</v>
      </c>
      <c r="B137" s="34" t="s">
        <v>309</v>
      </c>
      <c r="C137" s="34" t="s">
        <v>179</v>
      </c>
      <c r="D137" s="34" t="s">
        <v>176</v>
      </c>
      <c r="E137" s="34" t="s">
        <v>1</v>
      </c>
      <c r="F137" s="35" t="s">
        <v>283</v>
      </c>
      <c r="G137" s="40">
        <v>44630</v>
      </c>
      <c r="H137" s="34" t="s">
        <v>11</v>
      </c>
      <c r="I137">
        <v>1</v>
      </c>
      <c r="J137">
        <f t="shared" si="7"/>
        <v>8</v>
      </c>
    </row>
    <row r="138" spans="1:10" ht="45" x14ac:dyDescent="0.2">
      <c r="A138" s="33">
        <f t="shared" si="8"/>
        <v>137</v>
      </c>
      <c r="B138" s="34" t="s">
        <v>309</v>
      </c>
      <c r="C138" s="34" t="s">
        <v>179</v>
      </c>
      <c r="D138" s="34" t="s">
        <v>176</v>
      </c>
      <c r="E138" s="34" t="s">
        <v>1</v>
      </c>
      <c r="F138" s="35" t="s">
        <v>283</v>
      </c>
      <c r="G138" s="40">
        <v>44645</v>
      </c>
      <c r="H138" s="34" t="s">
        <v>11</v>
      </c>
      <c r="I138">
        <v>1</v>
      </c>
      <c r="J138">
        <f t="shared" si="7"/>
        <v>8</v>
      </c>
    </row>
    <row r="139" spans="1:10" ht="45" x14ac:dyDescent="0.2">
      <c r="A139" s="33">
        <f t="shared" si="8"/>
        <v>138</v>
      </c>
      <c r="B139" s="34" t="s">
        <v>309</v>
      </c>
      <c r="C139" s="34" t="s">
        <v>179</v>
      </c>
      <c r="D139" s="34" t="s">
        <v>176</v>
      </c>
      <c r="E139" s="34" t="s">
        <v>1</v>
      </c>
      <c r="F139" s="35" t="s">
        <v>283</v>
      </c>
      <c r="G139" s="40">
        <v>44650</v>
      </c>
      <c r="H139" s="34" t="s">
        <v>11</v>
      </c>
      <c r="I139">
        <v>1</v>
      </c>
      <c r="J139">
        <f t="shared" si="7"/>
        <v>8</v>
      </c>
    </row>
    <row r="140" spans="1:10" ht="45" x14ac:dyDescent="0.2">
      <c r="A140" s="33">
        <f t="shared" si="8"/>
        <v>139</v>
      </c>
      <c r="B140" s="34" t="s">
        <v>309</v>
      </c>
      <c r="C140" s="34" t="s">
        <v>179</v>
      </c>
      <c r="D140" s="34" t="s">
        <v>176</v>
      </c>
      <c r="E140" s="34" t="s">
        <v>1</v>
      </c>
      <c r="F140" s="35" t="s">
        <v>283</v>
      </c>
      <c r="G140" s="40" t="s">
        <v>225</v>
      </c>
      <c r="H140" s="34" t="s">
        <v>11</v>
      </c>
      <c r="I140">
        <v>1</v>
      </c>
      <c r="J140">
        <f t="shared" si="7"/>
        <v>8</v>
      </c>
    </row>
    <row r="141" spans="1:10" ht="45" x14ac:dyDescent="0.2">
      <c r="A141" s="33">
        <f t="shared" si="8"/>
        <v>140</v>
      </c>
      <c r="B141" s="34" t="s">
        <v>309</v>
      </c>
      <c r="C141" s="34" t="s">
        <v>179</v>
      </c>
      <c r="D141" s="34" t="s">
        <v>176</v>
      </c>
      <c r="E141" s="34" t="s">
        <v>1</v>
      </c>
      <c r="F141" s="35" t="s">
        <v>283</v>
      </c>
      <c r="G141" s="40" t="s">
        <v>225</v>
      </c>
      <c r="H141" s="34" t="s">
        <v>11</v>
      </c>
      <c r="I141">
        <v>1</v>
      </c>
      <c r="J141">
        <f t="shared" si="7"/>
        <v>8</v>
      </c>
    </row>
    <row r="142" spans="1:10" ht="45" x14ac:dyDescent="0.2">
      <c r="A142" s="33">
        <f t="shared" si="8"/>
        <v>141</v>
      </c>
      <c r="B142" s="34" t="s">
        <v>309</v>
      </c>
      <c r="C142" s="34" t="s">
        <v>179</v>
      </c>
      <c r="D142" s="34" t="s">
        <v>176</v>
      </c>
      <c r="E142" s="34" t="s">
        <v>1</v>
      </c>
      <c r="F142" s="35" t="s">
        <v>283</v>
      </c>
      <c r="G142" s="40" t="s">
        <v>225</v>
      </c>
      <c r="H142" s="34" t="s">
        <v>11</v>
      </c>
      <c r="I142">
        <v>1</v>
      </c>
      <c r="J142">
        <f t="shared" si="7"/>
        <v>8</v>
      </c>
    </row>
    <row r="143" spans="1:10" ht="60" x14ac:dyDescent="0.2">
      <c r="A143" s="33">
        <f t="shared" si="8"/>
        <v>142</v>
      </c>
      <c r="B143" s="34" t="s">
        <v>327</v>
      </c>
      <c r="C143" s="34" t="s">
        <v>179</v>
      </c>
      <c r="D143" s="34" t="s">
        <v>176</v>
      </c>
      <c r="E143" s="34" t="s">
        <v>1</v>
      </c>
      <c r="F143" s="35" t="s">
        <v>283</v>
      </c>
      <c r="G143" s="40" t="s">
        <v>225</v>
      </c>
      <c r="H143" s="34" t="s">
        <v>11</v>
      </c>
      <c r="I143">
        <v>1</v>
      </c>
      <c r="J143">
        <f t="shared" si="7"/>
        <v>8</v>
      </c>
    </row>
    <row r="144" spans="1:10" ht="45" x14ac:dyDescent="0.2">
      <c r="A144" s="33">
        <f t="shared" si="8"/>
        <v>143</v>
      </c>
      <c r="B144" s="34" t="s">
        <v>309</v>
      </c>
      <c r="C144" s="34" t="s">
        <v>179</v>
      </c>
      <c r="D144" s="34" t="s">
        <v>176</v>
      </c>
      <c r="E144" s="34" t="s">
        <v>1</v>
      </c>
      <c r="F144" s="35" t="s">
        <v>283</v>
      </c>
      <c r="G144" s="40" t="s">
        <v>225</v>
      </c>
      <c r="H144" s="34" t="s">
        <v>11</v>
      </c>
      <c r="I144">
        <v>1</v>
      </c>
      <c r="J144">
        <f t="shared" si="7"/>
        <v>8</v>
      </c>
    </row>
    <row r="145" spans="1:10" ht="45" x14ac:dyDescent="0.2">
      <c r="A145" s="33">
        <f t="shared" si="8"/>
        <v>144</v>
      </c>
      <c r="B145" s="34" t="s">
        <v>310</v>
      </c>
      <c r="C145" s="34" t="s">
        <v>15</v>
      </c>
      <c r="D145" s="34" t="s">
        <v>204</v>
      </c>
      <c r="E145" s="34" t="s">
        <v>1</v>
      </c>
      <c r="F145" s="35" t="s">
        <v>282</v>
      </c>
      <c r="G145" s="40" t="s">
        <v>225</v>
      </c>
      <c r="H145" s="34" t="s">
        <v>287</v>
      </c>
      <c r="I145">
        <v>1</v>
      </c>
      <c r="J145">
        <f t="shared" si="7"/>
        <v>8</v>
      </c>
    </row>
    <row r="146" spans="1:10" ht="45" x14ac:dyDescent="0.2">
      <c r="A146" s="33">
        <f t="shared" si="8"/>
        <v>145</v>
      </c>
      <c r="B146" s="34" t="s">
        <v>309</v>
      </c>
      <c r="C146" s="34" t="s">
        <v>179</v>
      </c>
      <c r="D146" s="34" t="s">
        <v>176</v>
      </c>
      <c r="E146" s="34" t="s">
        <v>1</v>
      </c>
      <c r="F146" s="35" t="s">
        <v>283</v>
      </c>
      <c r="G146" s="40" t="s">
        <v>225</v>
      </c>
      <c r="H146" s="34" t="s">
        <v>11</v>
      </c>
      <c r="I146">
        <v>1</v>
      </c>
      <c r="J146">
        <f t="shared" si="7"/>
        <v>8</v>
      </c>
    </row>
    <row r="147" spans="1:10" ht="30" x14ac:dyDescent="0.2">
      <c r="A147" s="33">
        <f t="shared" si="8"/>
        <v>146</v>
      </c>
      <c r="B147" s="34" t="s">
        <v>328</v>
      </c>
      <c r="C147" s="34" t="s">
        <v>205</v>
      </c>
      <c r="D147" s="34" t="s">
        <v>344</v>
      </c>
      <c r="E147" s="34" t="s">
        <v>1</v>
      </c>
      <c r="F147" s="35" t="s">
        <v>283</v>
      </c>
      <c r="G147" s="40">
        <v>44713</v>
      </c>
      <c r="H147" s="34" t="s">
        <v>11</v>
      </c>
      <c r="I147">
        <v>1</v>
      </c>
      <c r="J147">
        <f t="shared" si="7"/>
        <v>8</v>
      </c>
    </row>
    <row r="148" spans="1:10" ht="45" x14ac:dyDescent="0.2">
      <c r="A148" s="33">
        <f t="shared" si="8"/>
        <v>147</v>
      </c>
      <c r="B148" s="34" t="s">
        <v>310</v>
      </c>
      <c r="C148" s="34" t="s">
        <v>205</v>
      </c>
      <c r="D148" s="34" t="s">
        <v>344</v>
      </c>
      <c r="E148" s="34" t="s">
        <v>1</v>
      </c>
      <c r="F148" s="35" t="s">
        <v>283</v>
      </c>
      <c r="G148" s="40">
        <v>44713</v>
      </c>
      <c r="H148" s="34" t="s">
        <v>11</v>
      </c>
      <c r="I148">
        <v>1</v>
      </c>
      <c r="J148">
        <f t="shared" si="7"/>
        <v>8</v>
      </c>
    </row>
    <row r="149" spans="1:10" ht="30" x14ac:dyDescent="0.2">
      <c r="A149" s="33">
        <f t="shared" si="8"/>
        <v>148</v>
      </c>
      <c r="B149" s="34" t="s">
        <v>303</v>
      </c>
      <c r="C149" s="34" t="s">
        <v>15</v>
      </c>
      <c r="D149" s="34" t="s">
        <v>176</v>
      </c>
      <c r="E149" s="34" t="s">
        <v>117</v>
      </c>
      <c r="F149" s="35" t="s">
        <v>283</v>
      </c>
      <c r="G149" s="40">
        <v>44713</v>
      </c>
      <c r="H149" s="34" t="s">
        <v>278</v>
      </c>
      <c r="I149">
        <v>2</v>
      </c>
      <c r="J149">
        <f t="shared" si="7"/>
        <v>16</v>
      </c>
    </row>
    <row r="150" spans="1:10" ht="30" x14ac:dyDescent="0.2">
      <c r="A150" s="33">
        <f t="shared" si="8"/>
        <v>149</v>
      </c>
      <c r="B150" s="34" t="s">
        <v>329</v>
      </c>
      <c r="C150" s="34" t="s">
        <v>15</v>
      </c>
      <c r="D150" s="34" t="s">
        <v>204</v>
      </c>
      <c r="E150" s="34" t="s">
        <v>1</v>
      </c>
      <c r="F150" s="35" t="s">
        <v>282</v>
      </c>
      <c r="G150" s="40">
        <v>44682</v>
      </c>
      <c r="H150" s="34" t="s">
        <v>287</v>
      </c>
      <c r="I150">
        <v>1</v>
      </c>
      <c r="J150">
        <f t="shared" si="7"/>
        <v>8</v>
      </c>
    </row>
    <row r="151" spans="1:10" ht="45" x14ac:dyDescent="0.2">
      <c r="A151" s="33">
        <f t="shared" si="8"/>
        <v>150</v>
      </c>
      <c r="B151" s="34" t="s">
        <v>335</v>
      </c>
      <c r="C151" s="34" t="s">
        <v>15</v>
      </c>
      <c r="D151" s="34" t="s">
        <v>204</v>
      </c>
      <c r="E151" s="34" t="s">
        <v>1</v>
      </c>
      <c r="F151" s="35" t="s">
        <v>282</v>
      </c>
      <c r="G151" s="40">
        <v>44682</v>
      </c>
      <c r="H151" s="34" t="s">
        <v>287</v>
      </c>
      <c r="I151">
        <v>1</v>
      </c>
      <c r="J151">
        <f t="shared" si="7"/>
        <v>8</v>
      </c>
    </row>
    <row r="152" spans="1:10" x14ac:dyDescent="0.2">
      <c r="A152" s="33">
        <f t="shared" si="8"/>
        <v>151</v>
      </c>
      <c r="B152" s="34" t="s">
        <v>322</v>
      </c>
      <c r="C152" s="34" t="s">
        <v>184</v>
      </c>
      <c r="D152" s="34" t="s">
        <v>267</v>
      </c>
      <c r="E152" s="34" t="s">
        <v>1</v>
      </c>
      <c r="F152" s="34" t="s">
        <v>282</v>
      </c>
      <c r="G152" s="40">
        <v>44746</v>
      </c>
      <c r="H152" s="34" t="s">
        <v>11</v>
      </c>
      <c r="I152">
        <v>0.5</v>
      </c>
      <c r="J152">
        <f t="shared" si="7"/>
        <v>4</v>
      </c>
    </row>
    <row r="153" spans="1:10" ht="45" x14ac:dyDescent="0.2">
      <c r="A153" s="33">
        <f t="shared" si="8"/>
        <v>152</v>
      </c>
      <c r="B153" s="34" t="s">
        <v>320</v>
      </c>
      <c r="C153" s="34" t="s">
        <v>205</v>
      </c>
      <c r="D153" s="34" t="s">
        <v>262</v>
      </c>
      <c r="E153" s="34" t="s">
        <v>1</v>
      </c>
      <c r="F153" s="34" t="s">
        <v>282</v>
      </c>
      <c r="G153" s="40">
        <v>44749</v>
      </c>
      <c r="H153" s="34" t="s">
        <v>288</v>
      </c>
      <c r="I153">
        <v>1</v>
      </c>
      <c r="J153">
        <f t="shared" si="7"/>
        <v>8</v>
      </c>
    </row>
    <row r="154" spans="1:10" ht="45" x14ac:dyDescent="0.2">
      <c r="A154" s="33">
        <f t="shared" si="8"/>
        <v>153</v>
      </c>
      <c r="B154" s="34" t="s">
        <v>309</v>
      </c>
      <c r="C154" s="34" t="s">
        <v>179</v>
      </c>
      <c r="D154" s="34" t="s">
        <v>176</v>
      </c>
      <c r="E154" s="34" t="s">
        <v>1</v>
      </c>
      <c r="F154" s="35" t="s">
        <v>283</v>
      </c>
      <c r="G154" s="40">
        <v>44774</v>
      </c>
      <c r="H154" s="34" t="s">
        <v>11</v>
      </c>
      <c r="I154">
        <v>1</v>
      </c>
      <c r="J154">
        <f t="shared" si="7"/>
        <v>8</v>
      </c>
    </row>
    <row r="155" spans="1:10" ht="45" x14ac:dyDescent="0.2">
      <c r="A155" s="33">
        <f t="shared" si="8"/>
        <v>154</v>
      </c>
      <c r="B155" s="34" t="s">
        <v>309</v>
      </c>
      <c r="C155" s="34" t="s">
        <v>179</v>
      </c>
      <c r="D155" s="34" t="s">
        <v>176</v>
      </c>
      <c r="E155" s="34" t="s">
        <v>1</v>
      </c>
      <c r="F155" s="35" t="s">
        <v>283</v>
      </c>
      <c r="G155" s="40">
        <v>44774</v>
      </c>
      <c r="H155" s="34" t="s">
        <v>11</v>
      </c>
      <c r="I155">
        <v>1</v>
      </c>
      <c r="J155">
        <f t="shared" si="7"/>
        <v>8</v>
      </c>
    </row>
    <row r="156" spans="1:10" ht="45" x14ac:dyDescent="0.2">
      <c r="A156" s="33">
        <f t="shared" si="8"/>
        <v>155</v>
      </c>
      <c r="B156" s="34" t="s">
        <v>309</v>
      </c>
      <c r="C156" s="34" t="s">
        <v>15</v>
      </c>
      <c r="D156" s="34" t="s">
        <v>176</v>
      </c>
      <c r="E156" s="34" t="s">
        <v>1</v>
      </c>
      <c r="F156" s="35" t="s">
        <v>283</v>
      </c>
      <c r="G156" s="40">
        <v>44774</v>
      </c>
      <c r="H156" s="34" t="s">
        <v>11</v>
      </c>
      <c r="I156">
        <v>1</v>
      </c>
      <c r="J156">
        <f t="shared" si="7"/>
        <v>8</v>
      </c>
    </row>
    <row r="157" spans="1:10" ht="30" x14ac:dyDescent="0.2">
      <c r="A157" s="33">
        <f t="shared" si="8"/>
        <v>156</v>
      </c>
      <c r="B157" s="34" t="s">
        <v>329</v>
      </c>
      <c r="C157" s="34" t="s">
        <v>205</v>
      </c>
      <c r="D157" s="34" t="s">
        <v>346</v>
      </c>
      <c r="E157" s="34" t="s">
        <v>1</v>
      </c>
      <c r="F157" s="34" t="s">
        <v>282</v>
      </c>
      <c r="G157" s="40">
        <v>44970</v>
      </c>
      <c r="H157" s="34"/>
      <c r="I157">
        <v>1</v>
      </c>
      <c r="J157">
        <f t="shared" si="7"/>
        <v>8</v>
      </c>
    </row>
    <row r="158" spans="1:10" ht="45" x14ac:dyDescent="0.2">
      <c r="A158" s="33">
        <f t="shared" si="8"/>
        <v>157</v>
      </c>
      <c r="B158" s="34" t="s">
        <v>309</v>
      </c>
      <c r="C158" s="34" t="s">
        <v>179</v>
      </c>
      <c r="D158" s="34" t="s">
        <v>348</v>
      </c>
      <c r="E158" s="34" t="s">
        <v>1</v>
      </c>
      <c r="F158" s="34" t="s">
        <v>282</v>
      </c>
      <c r="G158" s="40">
        <v>44860</v>
      </c>
      <c r="H158" s="34" t="s">
        <v>289</v>
      </c>
      <c r="I158">
        <v>0.5</v>
      </c>
      <c r="J158">
        <f t="shared" si="7"/>
        <v>4</v>
      </c>
    </row>
    <row r="159" spans="1:10" ht="45" x14ac:dyDescent="0.2">
      <c r="A159" s="33">
        <f t="shared" si="8"/>
        <v>158</v>
      </c>
      <c r="B159" s="34" t="s">
        <v>349</v>
      </c>
      <c r="C159" s="34" t="s">
        <v>207</v>
      </c>
      <c r="D159" s="34" t="s">
        <v>206</v>
      </c>
      <c r="E159" s="34" t="s">
        <v>1</v>
      </c>
      <c r="F159" s="34" t="s">
        <v>282</v>
      </c>
      <c r="G159" s="40"/>
      <c r="H159" s="34" t="s">
        <v>289</v>
      </c>
      <c r="I159">
        <v>0.5</v>
      </c>
      <c r="J159">
        <f t="shared" ref="J159" si="9">I159*8</f>
        <v>4</v>
      </c>
    </row>
    <row r="160" spans="1:10" ht="45" x14ac:dyDescent="0.2">
      <c r="A160" s="33">
        <f t="shared" si="8"/>
        <v>159</v>
      </c>
      <c r="B160" s="34" t="s">
        <v>320</v>
      </c>
      <c r="C160" s="34" t="s">
        <v>15</v>
      </c>
      <c r="D160" s="34" t="s">
        <v>160</v>
      </c>
      <c r="E160" s="34" t="s">
        <v>1</v>
      </c>
      <c r="F160" s="34" t="s">
        <v>282</v>
      </c>
      <c r="G160" s="40">
        <v>45901</v>
      </c>
      <c r="H160" s="34" t="s">
        <v>287</v>
      </c>
      <c r="I160">
        <v>1</v>
      </c>
      <c r="J160">
        <f t="shared" ref="J160:J166" si="10">I160*8</f>
        <v>8</v>
      </c>
    </row>
    <row r="161" spans="1:10" ht="30" x14ac:dyDescent="0.2">
      <c r="A161" s="33">
        <f t="shared" si="8"/>
        <v>160</v>
      </c>
      <c r="B161" s="34" t="s">
        <v>308</v>
      </c>
      <c r="C161" s="34" t="s">
        <v>207</v>
      </c>
      <c r="D161" s="34" t="s">
        <v>312</v>
      </c>
      <c r="E161" s="34" t="s">
        <v>164</v>
      </c>
      <c r="F161" s="35" t="s">
        <v>283</v>
      </c>
      <c r="G161" s="39">
        <v>45839</v>
      </c>
      <c r="H161" s="34" t="s">
        <v>11</v>
      </c>
      <c r="I161">
        <f>(2/8)*1</f>
        <v>0.25</v>
      </c>
      <c r="J161">
        <v>2</v>
      </c>
    </row>
    <row r="162" spans="1:10" ht="60" x14ac:dyDescent="0.2">
      <c r="A162" s="33">
        <f t="shared" si="8"/>
        <v>161</v>
      </c>
      <c r="B162" s="34" t="s">
        <v>311</v>
      </c>
      <c r="C162" s="34" t="s">
        <v>207</v>
      </c>
      <c r="D162" s="34" t="s">
        <v>208</v>
      </c>
      <c r="E162" s="34" t="s">
        <v>1</v>
      </c>
      <c r="F162" s="34" t="s">
        <v>282</v>
      </c>
      <c r="G162" s="39">
        <v>45839</v>
      </c>
      <c r="H162" s="34" t="s">
        <v>11</v>
      </c>
      <c r="I162">
        <v>1</v>
      </c>
      <c r="J162">
        <f t="shared" si="10"/>
        <v>8</v>
      </c>
    </row>
    <row r="163" spans="1:10" ht="30" x14ac:dyDescent="0.2">
      <c r="A163" s="33">
        <f t="shared" si="8"/>
        <v>162</v>
      </c>
      <c r="B163" s="34" t="s">
        <v>318</v>
      </c>
      <c r="C163" s="34" t="s">
        <v>207</v>
      </c>
      <c r="D163" s="34" t="s">
        <v>208</v>
      </c>
      <c r="E163" s="34" t="s">
        <v>1</v>
      </c>
      <c r="F163" s="34" t="s">
        <v>282</v>
      </c>
      <c r="G163" s="40">
        <v>45855</v>
      </c>
      <c r="H163" s="34" t="s">
        <v>165</v>
      </c>
      <c r="I163" s="21">
        <v>1</v>
      </c>
      <c r="J163" s="21">
        <f t="shared" si="10"/>
        <v>8</v>
      </c>
    </row>
    <row r="164" spans="1:10" ht="60" x14ac:dyDescent="0.2">
      <c r="A164" s="33">
        <f t="shared" si="8"/>
        <v>163</v>
      </c>
      <c r="B164" s="34" t="s">
        <v>311</v>
      </c>
      <c r="C164" s="34" t="s">
        <v>207</v>
      </c>
      <c r="D164" s="34" t="s">
        <v>261</v>
      </c>
      <c r="E164" s="34" t="s">
        <v>1</v>
      </c>
      <c r="F164" s="35" t="s">
        <v>283</v>
      </c>
      <c r="G164" s="40">
        <v>45856</v>
      </c>
      <c r="H164" s="34" t="s">
        <v>165</v>
      </c>
      <c r="I164" s="21">
        <v>1</v>
      </c>
      <c r="J164" s="21">
        <f t="shared" si="10"/>
        <v>8</v>
      </c>
    </row>
    <row r="165" spans="1:10" ht="30" x14ac:dyDescent="0.2">
      <c r="A165" s="33">
        <f t="shared" si="8"/>
        <v>164</v>
      </c>
      <c r="B165" s="34" t="s">
        <v>318</v>
      </c>
      <c r="C165" s="34" t="s">
        <v>207</v>
      </c>
      <c r="D165" s="34" t="s">
        <v>208</v>
      </c>
      <c r="E165" s="34" t="s">
        <v>1</v>
      </c>
      <c r="F165" s="34" t="s">
        <v>282</v>
      </c>
      <c r="G165" s="40">
        <v>45857</v>
      </c>
      <c r="H165" s="34" t="s">
        <v>165</v>
      </c>
      <c r="I165" s="21">
        <v>1</v>
      </c>
      <c r="J165" s="21">
        <f t="shared" si="10"/>
        <v>8</v>
      </c>
    </row>
    <row r="166" spans="1:10" x14ac:dyDescent="0.2">
      <c r="A166" s="33">
        <f t="shared" si="8"/>
        <v>165</v>
      </c>
      <c r="B166" s="34" t="s">
        <v>319</v>
      </c>
      <c r="C166" s="34" t="s">
        <v>207</v>
      </c>
      <c r="D166" s="34" t="s">
        <v>312</v>
      </c>
      <c r="E166" s="34" t="s">
        <v>313</v>
      </c>
      <c r="F166" s="34" t="s">
        <v>282</v>
      </c>
      <c r="G166" s="40" t="s">
        <v>314</v>
      </c>
      <c r="H166" s="34"/>
      <c r="I166" s="21">
        <v>2</v>
      </c>
      <c r="J166" s="21">
        <f t="shared" si="10"/>
        <v>16</v>
      </c>
    </row>
    <row r="167" spans="1:10" ht="30" x14ac:dyDescent="0.2">
      <c r="A167" s="33">
        <f t="shared" si="8"/>
        <v>166</v>
      </c>
      <c r="B167" s="34" t="s">
        <v>318</v>
      </c>
      <c r="C167" s="34" t="s">
        <v>207</v>
      </c>
      <c r="D167" s="34" t="s">
        <v>312</v>
      </c>
      <c r="E167" s="34" t="s">
        <v>106</v>
      </c>
      <c r="F167" s="34" t="s">
        <v>282</v>
      </c>
      <c r="G167" s="40">
        <v>45938</v>
      </c>
      <c r="H167" s="34" t="s">
        <v>165</v>
      </c>
      <c r="I167" s="21">
        <v>1</v>
      </c>
      <c r="J167" s="21">
        <f>I167*8</f>
        <v>8</v>
      </c>
    </row>
    <row r="168" spans="1:10" x14ac:dyDescent="0.2">
      <c r="A168" s="33">
        <f t="shared" si="8"/>
        <v>167</v>
      </c>
      <c r="B168" s="34" t="s">
        <v>307</v>
      </c>
      <c r="C168" s="34" t="s">
        <v>210</v>
      </c>
      <c r="D168" s="34" t="s">
        <v>209</v>
      </c>
      <c r="E168" s="34" t="s">
        <v>1</v>
      </c>
      <c r="F168" s="34" t="s">
        <v>282</v>
      </c>
      <c r="G168" s="40">
        <v>45859</v>
      </c>
      <c r="H168" s="34" t="s">
        <v>165</v>
      </c>
      <c r="I168" s="21">
        <v>1</v>
      </c>
      <c r="J168" s="21">
        <f>I168*8</f>
        <v>8</v>
      </c>
    </row>
    <row r="169" spans="1:10" ht="60" x14ac:dyDescent="0.2">
      <c r="A169" s="33">
        <f t="shared" si="8"/>
        <v>168</v>
      </c>
      <c r="B169" s="34" t="s">
        <v>311</v>
      </c>
      <c r="C169" s="34" t="s">
        <v>347</v>
      </c>
      <c r="D169" s="34" t="s">
        <v>176</v>
      </c>
      <c r="E169" s="34" t="s">
        <v>166</v>
      </c>
      <c r="F169" s="35" t="s">
        <v>283</v>
      </c>
      <c r="G169" s="40">
        <v>45944</v>
      </c>
      <c r="H169" s="34"/>
      <c r="I169" s="21"/>
      <c r="J169" s="21"/>
    </row>
    <row r="170" spans="1:10" ht="30" x14ac:dyDescent="0.2">
      <c r="A170" s="33">
        <f t="shared" si="8"/>
        <v>169</v>
      </c>
      <c r="B170" s="34" t="s">
        <v>318</v>
      </c>
      <c r="C170" s="34" t="s">
        <v>347</v>
      </c>
      <c r="D170" s="34" t="s">
        <v>176</v>
      </c>
      <c r="E170" s="34" t="s">
        <v>166</v>
      </c>
      <c r="F170" s="35" t="s">
        <v>283</v>
      </c>
      <c r="G170" s="40">
        <v>45945</v>
      </c>
      <c r="H170" s="34" t="s">
        <v>165</v>
      </c>
      <c r="I170" s="21">
        <v>2</v>
      </c>
      <c r="J170" s="21">
        <f>I170*8</f>
        <v>16</v>
      </c>
    </row>
    <row r="171" spans="1:10" ht="75" x14ac:dyDescent="0.2">
      <c r="A171" s="33">
        <f t="shared" si="8"/>
        <v>170</v>
      </c>
      <c r="B171" s="34" t="s">
        <v>332</v>
      </c>
      <c r="C171" s="34" t="s">
        <v>207</v>
      </c>
      <c r="D171" s="34" t="s">
        <v>211</v>
      </c>
      <c r="E171" s="34" t="s">
        <v>159</v>
      </c>
      <c r="F171" s="35" t="s">
        <v>283</v>
      </c>
      <c r="G171" s="39">
        <v>45861</v>
      </c>
      <c r="H171" s="34" t="s">
        <v>165</v>
      </c>
      <c r="I171" s="21">
        <v>0.5</v>
      </c>
      <c r="J171" s="21">
        <f>I171*8</f>
        <v>4</v>
      </c>
    </row>
    <row r="172" spans="1:10" ht="30" x14ac:dyDescent="0.2">
      <c r="A172" s="33">
        <f t="shared" si="8"/>
        <v>171</v>
      </c>
      <c r="B172" s="34" t="s">
        <v>324</v>
      </c>
      <c r="C172" s="34" t="s">
        <v>193</v>
      </c>
      <c r="D172" s="34" t="s">
        <v>220</v>
      </c>
      <c r="E172" s="34" t="s">
        <v>1</v>
      </c>
      <c r="F172" s="35" t="s">
        <v>283</v>
      </c>
      <c r="G172" s="39">
        <v>45839</v>
      </c>
      <c r="H172" s="34" t="s">
        <v>11</v>
      </c>
      <c r="I172" s="21">
        <v>1</v>
      </c>
      <c r="J172" s="21">
        <f>I172*8</f>
        <v>8</v>
      </c>
    </row>
    <row r="173" spans="1:10" ht="45" x14ac:dyDescent="0.2">
      <c r="A173" s="33">
        <f t="shared" si="8"/>
        <v>172</v>
      </c>
      <c r="B173" s="34" t="s">
        <v>336</v>
      </c>
      <c r="C173" s="34" t="s">
        <v>207</v>
      </c>
      <c r="D173" s="34" t="s">
        <v>212</v>
      </c>
      <c r="E173" s="34" t="s">
        <v>1</v>
      </c>
      <c r="F173" s="34" t="s">
        <v>282</v>
      </c>
      <c r="G173" s="40">
        <v>45839</v>
      </c>
      <c r="H173" s="34" t="s">
        <v>134</v>
      </c>
      <c r="I173" s="21">
        <v>1</v>
      </c>
      <c r="J173" s="21">
        <f t="shared" ref="J173:J214" si="11">I173*8</f>
        <v>8</v>
      </c>
    </row>
    <row r="174" spans="1:10" ht="30" x14ac:dyDescent="0.2">
      <c r="A174" s="33">
        <f t="shared" si="8"/>
        <v>173</v>
      </c>
      <c r="B174" s="34" t="s">
        <v>329</v>
      </c>
      <c r="C174" s="34" t="s">
        <v>207</v>
      </c>
      <c r="D174" s="34" t="s">
        <v>212</v>
      </c>
      <c r="E174" s="34" t="s">
        <v>159</v>
      </c>
      <c r="F174" s="34" t="s">
        <v>282</v>
      </c>
      <c r="G174" s="40">
        <v>45839</v>
      </c>
      <c r="H174" s="34" t="s">
        <v>11</v>
      </c>
      <c r="I174" s="21">
        <v>0.5</v>
      </c>
      <c r="J174" s="21">
        <f t="shared" si="11"/>
        <v>4</v>
      </c>
    </row>
    <row r="175" spans="1:10" x14ac:dyDescent="0.2">
      <c r="A175" s="33">
        <f t="shared" si="8"/>
        <v>174</v>
      </c>
      <c r="B175" s="34" t="s">
        <v>317</v>
      </c>
      <c r="C175" s="34" t="s">
        <v>207</v>
      </c>
      <c r="D175" s="34" t="s">
        <v>312</v>
      </c>
      <c r="E175" s="34" t="s">
        <v>2</v>
      </c>
      <c r="F175" s="34" t="s">
        <v>282</v>
      </c>
      <c r="G175" s="40"/>
      <c r="H175" s="34" t="s">
        <v>11</v>
      </c>
      <c r="I175" s="21">
        <v>3</v>
      </c>
      <c r="J175" s="21">
        <f t="shared" si="11"/>
        <v>24</v>
      </c>
    </row>
    <row r="176" spans="1:10" ht="75" x14ac:dyDescent="0.2">
      <c r="A176" s="33">
        <f t="shared" si="8"/>
        <v>175</v>
      </c>
      <c r="B176" s="34" t="s">
        <v>332</v>
      </c>
      <c r="C176" s="34" t="s">
        <v>207</v>
      </c>
      <c r="D176" s="34" t="s">
        <v>213</v>
      </c>
      <c r="E176" s="34" t="s">
        <v>1</v>
      </c>
      <c r="F176" s="34" t="s">
        <v>282</v>
      </c>
      <c r="G176" s="40">
        <v>45839</v>
      </c>
      <c r="H176" s="34" t="s">
        <v>268</v>
      </c>
      <c r="I176" s="21">
        <v>1</v>
      </c>
      <c r="J176" s="21">
        <f t="shared" si="11"/>
        <v>8</v>
      </c>
    </row>
    <row r="177" spans="1:10" ht="30" x14ac:dyDescent="0.2">
      <c r="A177" s="33">
        <f t="shared" si="8"/>
        <v>176</v>
      </c>
      <c r="B177" s="34" t="s">
        <v>329</v>
      </c>
      <c r="C177" s="25" t="s">
        <v>184</v>
      </c>
      <c r="D177" s="25" t="s">
        <v>259</v>
      </c>
      <c r="E177" s="34" t="s">
        <v>330</v>
      </c>
      <c r="F177" s="34" t="s">
        <v>282</v>
      </c>
      <c r="G177" s="40">
        <v>45931</v>
      </c>
      <c r="H177" s="34"/>
      <c r="I177" s="21">
        <v>1</v>
      </c>
      <c r="J177" s="21">
        <f>I177*8</f>
        <v>8</v>
      </c>
    </row>
    <row r="178" spans="1:10" ht="30" x14ac:dyDescent="0.2">
      <c r="A178" s="33">
        <f t="shared" si="8"/>
        <v>177</v>
      </c>
      <c r="B178" s="34" t="s">
        <v>334</v>
      </c>
      <c r="C178" s="25" t="s">
        <v>184</v>
      </c>
      <c r="D178" s="25" t="s">
        <v>259</v>
      </c>
      <c r="E178" s="34" t="s">
        <v>330</v>
      </c>
      <c r="F178" s="34" t="s">
        <v>282</v>
      </c>
      <c r="G178" s="40">
        <v>45932</v>
      </c>
      <c r="H178" s="34" t="s">
        <v>17</v>
      </c>
      <c r="I178" s="21">
        <v>1</v>
      </c>
      <c r="J178" s="21">
        <f t="shared" si="11"/>
        <v>8</v>
      </c>
    </row>
    <row r="179" spans="1:10" ht="30" x14ac:dyDescent="0.2">
      <c r="A179" s="33">
        <f t="shared" si="8"/>
        <v>178</v>
      </c>
      <c r="B179" s="34" t="s">
        <v>318</v>
      </c>
      <c r="C179" s="34" t="s">
        <v>207</v>
      </c>
      <c r="D179" s="34" t="s">
        <v>261</v>
      </c>
      <c r="E179" s="34" t="s">
        <v>1</v>
      </c>
      <c r="F179" s="35" t="s">
        <v>283</v>
      </c>
      <c r="G179" s="40">
        <v>45933</v>
      </c>
      <c r="H179" s="34"/>
      <c r="I179" s="21"/>
      <c r="J179" s="21"/>
    </row>
    <row r="180" spans="1:10" x14ac:dyDescent="0.2">
      <c r="A180" s="33">
        <f t="shared" si="8"/>
        <v>179</v>
      </c>
      <c r="B180" s="34" t="s">
        <v>322</v>
      </c>
      <c r="C180" s="25" t="s">
        <v>184</v>
      </c>
      <c r="D180" s="25" t="s">
        <v>214</v>
      </c>
      <c r="E180" s="34" t="s">
        <v>166</v>
      </c>
      <c r="F180" s="34" t="s">
        <v>282</v>
      </c>
      <c r="G180" s="40"/>
      <c r="H180" s="34" t="s">
        <v>170</v>
      </c>
      <c r="I180" s="21">
        <v>2</v>
      </c>
      <c r="J180" s="21">
        <f t="shared" si="11"/>
        <v>16</v>
      </c>
    </row>
    <row r="181" spans="1:10" ht="60" x14ac:dyDescent="0.2">
      <c r="A181" s="33">
        <f t="shared" si="8"/>
        <v>180</v>
      </c>
      <c r="B181" s="34" t="s">
        <v>311</v>
      </c>
      <c r="C181" s="34" t="s">
        <v>207</v>
      </c>
      <c r="D181" s="25" t="s">
        <v>215</v>
      </c>
      <c r="E181" s="34" t="s">
        <v>1</v>
      </c>
      <c r="F181" s="34" t="s">
        <v>282</v>
      </c>
      <c r="G181" s="40"/>
      <c r="H181" s="34" t="s">
        <v>73</v>
      </c>
      <c r="I181" s="21">
        <v>1</v>
      </c>
      <c r="J181" s="21">
        <f t="shared" si="11"/>
        <v>8</v>
      </c>
    </row>
    <row r="182" spans="1:10" ht="30" x14ac:dyDescent="0.2">
      <c r="A182" s="33">
        <f t="shared" si="8"/>
        <v>181</v>
      </c>
      <c r="B182" s="34" t="s">
        <v>318</v>
      </c>
      <c r="C182" s="34" t="s">
        <v>207</v>
      </c>
      <c r="D182" s="25" t="s">
        <v>215</v>
      </c>
      <c r="E182" s="34" t="s">
        <v>1</v>
      </c>
      <c r="F182" s="34" t="s">
        <v>282</v>
      </c>
      <c r="G182" s="40"/>
      <c r="H182" s="34" t="s">
        <v>73</v>
      </c>
      <c r="I182" s="21">
        <v>1</v>
      </c>
      <c r="J182" s="21">
        <f t="shared" si="11"/>
        <v>8</v>
      </c>
    </row>
    <row r="183" spans="1:10" x14ac:dyDescent="0.2">
      <c r="A183" s="33">
        <f t="shared" si="8"/>
        <v>182</v>
      </c>
      <c r="B183" s="34" t="s">
        <v>303</v>
      </c>
      <c r="C183" s="34" t="s">
        <v>207</v>
      </c>
      <c r="D183" s="34" t="s">
        <v>339</v>
      </c>
      <c r="E183" s="34" t="s">
        <v>3</v>
      </c>
      <c r="F183" s="35" t="s">
        <v>283</v>
      </c>
      <c r="G183" s="40" t="s">
        <v>340</v>
      </c>
      <c r="H183" s="34"/>
      <c r="I183" s="21">
        <v>3</v>
      </c>
      <c r="J183" s="21">
        <f t="shared" ref="J183" si="12">I183*8</f>
        <v>24</v>
      </c>
    </row>
    <row r="184" spans="1:10" ht="60" x14ac:dyDescent="0.2">
      <c r="A184" s="33">
        <f t="shared" si="8"/>
        <v>183</v>
      </c>
      <c r="B184" s="34" t="s">
        <v>311</v>
      </c>
      <c r="C184" s="34" t="s">
        <v>207</v>
      </c>
      <c r="D184" s="34" t="s">
        <v>216</v>
      </c>
      <c r="E184" s="34" t="s">
        <v>1</v>
      </c>
      <c r="F184" s="35" t="s">
        <v>283</v>
      </c>
      <c r="G184" s="40">
        <v>46082</v>
      </c>
      <c r="H184" s="34" t="s">
        <v>11</v>
      </c>
      <c r="I184" s="21">
        <v>1</v>
      </c>
      <c r="J184" s="21">
        <f t="shared" si="11"/>
        <v>8</v>
      </c>
    </row>
    <row r="185" spans="1:10" ht="60" x14ac:dyDescent="0.2">
      <c r="A185" s="33">
        <f t="shared" si="8"/>
        <v>184</v>
      </c>
      <c r="B185" s="34" t="s">
        <v>311</v>
      </c>
      <c r="C185" s="34" t="s">
        <v>207</v>
      </c>
      <c r="D185" s="34" t="s">
        <v>217</v>
      </c>
      <c r="E185" s="34" t="s">
        <v>1</v>
      </c>
      <c r="F185" s="35" t="s">
        <v>283</v>
      </c>
      <c r="G185" s="40">
        <v>46082</v>
      </c>
      <c r="H185" s="34" t="s">
        <v>11</v>
      </c>
      <c r="I185" s="21">
        <v>1</v>
      </c>
      <c r="J185" s="21">
        <f t="shared" si="11"/>
        <v>8</v>
      </c>
    </row>
    <row r="186" spans="1:10" ht="60" x14ac:dyDescent="0.2">
      <c r="A186" s="33">
        <f t="shared" si="8"/>
        <v>185</v>
      </c>
      <c r="B186" s="34" t="s">
        <v>311</v>
      </c>
      <c r="C186" s="34" t="s">
        <v>207</v>
      </c>
      <c r="D186" s="34" t="s">
        <v>218</v>
      </c>
      <c r="E186" s="34" t="s">
        <v>1</v>
      </c>
      <c r="F186" s="35" t="s">
        <v>283</v>
      </c>
      <c r="G186" s="40">
        <v>46082</v>
      </c>
      <c r="H186" s="34" t="s">
        <v>11</v>
      </c>
      <c r="I186" s="21">
        <v>1</v>
      </c>
      <c r="J186" s="21">
        <f t="shared" si="11"/>
        <v>8</v>
      </c>
    </row>
    <row r="187" spans="1:10" ht="30" x14ac:dyDescent="0.2">
      <c r="A187" s="33">
        <f t="shared" si="8"/>
        <v>186</v>
      </c>
      <c r="B187" s="34" t="s">
        <v>318</v>
      </c>
      <c r="C187" s="34" t="s">
        <v>207</v>
      </c>
      <c r="D187" s="34" t="s">
        <v>216</v>
      </c>
      <c r="E187" s="34" t="s">
        <v>1</v>
      </c>
      <c r="F187" s="35" t="s">
        <v>283</v>
      </c>
      <c r="G187" s="40">
        <v>46082</v>
      </c>
      <c r="H187" s="34" t="s">
        <v>11</v>
      </c>
      <c r="I187" s="21">
        <v>1</v>
      </c>
      <c r="J187" s="21">
        <f t="shared" si="11"/>
        <v>8</v>
      </c>
    </row>
    <row r="188" spans="1:10" ht="30" x14ac:dyDescent="0.2">
      <c r="A188" s="33">
        <f t="shared" si="8"/>
        <v>187</v>
      </c>
      <c r="B188" s="34" t="s">
        <v>318</v>
      </c>
      <c r="C188" s="34" t="s">
        <v>207</v>
      </c>
      <c r="D188" s="34" t="s">
        <v>217</v>
      </c>
      <c r="E188" s="34" t="s">
        <v>1</v>
      </c>
      <c r="F188" s="35" t="s">
        <v>283</v>
      </c>
      <c r="G188" s="40">
        <v>46082</v>
      </c>
      <c r="H188" s="34" t="s">
        <v>11</v>
      </c>
      <c r="I188" s="21">
        <v>1</v>
      </c>
      <c r="J188" s="21">
        <f t="shared" si="11"/>
        <v>8</v>
      </c>
    </row>
    <row r="189" spans="1:10" ht="30" x14ac:dyDescent="0.2">
      <c r="A189" s="33">
        <f t="shared" si="8"/>
        <v>188</v>
      </c>
      <c r="B189" s="34" t="s">
        <v>318</v>
      </c>
      <c r="C189" s="34" t="s">
        <v>207</v>
      </c>
      <c r="D189" s="34" t="s">
        <v>218</v>
      </c>
      <c r="E189" s="34" t="s">
        <v>1</v>
      </c>
      <c r="F189" s="35" t="s">
        <v>283</v>
      </c>
      <c r="G189" s="40">
        <v>46082</v>
      </c>
      <c r="H189" s="34" t="s">
        <v>11</v>
      </c>
      <c r="I189" s="21">
        <v>1</v>
      </c>
      <c r="J189" s="21">
        <f t="shared" si="11"/>
        <v>8</v>
      </c>
    </row>
    <row r="190" spans="1:10" x14ac:dyDescent="0.2">
      <c r="A190" s="33">
        <f t="shared" si="8"/>
        <v>189</v>
      </c>
      <c r="B190" s="34" t="s">
        <v>303</v>
      </c>
      <c r="C190" s="34" t="s">
        <v>207</v>
      </c>
      <c r="D190" s="34" t="s">
        <v>219</v>
      </c>
      <c r="E190" s="34" t="s">
        <v>20</v>
      </c>
      <c r="F190" s="35" t="s">
        <v>283</v>
      </c>
      <c r="G190" s="40">
        <v>46082</v>
      </c>
      <c r="H190" s="34" t="s">
        <v>11</v>
      </c>
      <c r="I190" s="21">
        <v>3</v>
      </c>
      <c r="J190" s="21">
        <f t="shared" si="11"/>
        <v>24</v>
      </c>
    </row>
    <row r="191" spans="1:10" x14ac:dyDescent="0.2">
      <c r="A191" s="33">
        <f t="shared" si="8"/>
        <v>190</v>
      </c>
      <c r="B191" s="34" t="s">
        <v>303</v>
      </c>
      <c r="C191" s="34" t="s">
        <v>207</v>
      </c>
      <c r="D191" s="34" t="s">
        <v>219</v>
      </c>
      <c r="E191" s="34" t="s">
        <v>20</v>
      </c>
      <c r="F191" s="35" t="s">
        <v>283</v>
      </c>
      <c r="G191" s="40">
        <v>46082</v>
      </c>
      <c r="H191" s="34" t="s">
        <v>11</v>
      </c>
      <c r="I191" s="21">
        <v>3</v>
      </c>
      <c r="J191" s="21">
        <f t="shared" si="11"/>
        <v>24</v>
      </c>
    </row>
    <row r="192" spans="1:10" x14ac:dyDescent="0.2">
      <c r="A192" s="33">
        <f t="shared" si="8"/>
        <v>191</v>
      </c>
      <c r="B192" s="34" t="s">
        <v>303</v>
      </c>
      <c r="C192" s="34" t="s">
        <v>207</v>
      </c>
      <c r="D192" s="34" t="s">
        <v>219</v>
      </c>
      <c r="E192" s="34" t="s">
        <v>20</v>
      </c>
      <c r="F192" s="35" t="s">
        <v>283</v>
      </c>
      <c r="G192" s="40">
        <v>46082</v>
      </c>
      <c r="H192" s="34" t="s">
        <v>11</v>
      </c>
      <c r="I192" s="21">
        <v>3</v>
      </c>
      <c r="J192" s="21">
        <f t="shared" si="11"/>
        <v>24</v>
      </c>
    </row>
    <row r="193" spans="1:10" ht="45" x14ac:dyDescent="0.2">
      <c r="A193" s="33">
        <f t="shared" si="8"/>
        <v>192</v>
      </c>
      <c r="B193" s="34" t="s">
        <v>309</v>
      </c>
      <c r="C193" s="34" t="s">
        <v>207</v>
      </c>
      <c r="D193" s="34" t="s">
        <v>176</v>
      </c>
      <c r="E193" s="34" t="s">
        <v>1</v>
      </c>
      <c r="F193" s="35" t="s">
        <v>283</v>
      </c>
      <c r="G193" s="40">
        <v>46082</v>
      </c>
      <c r="H193" s="34" t="s">
        <v>11</v>
      </c>
      <c r="I193" s="21">
        <v>1</v>
      </c>
      <c r="J193" s="21">
        <f t="shared" si="11"/>
        <v>8</v>
      </c>
    </row>
    <row r="194" spans="1:10" ht="60" x14ac:dyDescent="0.2">
      <c r="A194" s="33">
        <f t="shared" si="8"/>
        <v>193</v>
      </c>
      <c r="B194" s="34" t="s">
        <v>327</v>
      </c>
      <c r="C194" s="34" t="s">
        <v>207</v>
      </c>
      <c r="D194" s="34" t="s">
        <v>176</v>
      </c>
      <c r="E194" s="34" t="s">
        <v>1</v>
      </c>
      <c r="F194" s="35" t="s">
        <v>283</v>
      </c>
      <c r="G194" s="40">
        <v>46082</v>
      </c>
      <c r="H194" s="34" t="s">
        <v>11</v>
      </c>
      <c r="I194" s="21">
        <v>1</v>
      </c>
      <c r="J194" s="21">
        <f t="shared" si="11"/>
        <v>8</v>
      </c>
    </row>
    <row r="195" spans="1:10" ht="30" x14ac:dyDescent="0.2">
      <c r="A195" s="33">
        <f t="shared" si="8"/>
        <v>194</v>
      </c>
      <c r="B195" s="34" t="s">
        <v>325</v>
      </c>
      <c r="C195" s="34" t="s">
        <v>193</v>
      </c>
      <c r="D195" s="34" t="s">
        <v>220</v>
      </c>
      <c r="E195" s="34" t="s">
        <v>1</v>
      </c>
      <c r="F195" s="35" t="s">
        <v>283</v>
      </c>
      <c r="G195" s="40">
        <v>46082</v>
      </c>
      <c r="H195" s="34" t="s">
        <v>11</v>
      </c>
      <c r="I195" s="21">
        <v>1</v>
      </c>
      <c r="J195" s="21">
        <f t="shared" si="11"/>
        <v>8</v>
      </c>
    </row>
    <row r="196" spans="1:10" ht="45" x14ac:dyDescent="0.2">
      <c r="A196" s="33">
        <f t="shared" si="8"/>
        <v>195</v>
      </c>
      <c r="B196" s="34" t="s">
        <v>309</v>
      </c>
      <c r="C196" s="34" t="s">
        <v>193</v>
      </c>
      <c r="D196" s="34" t="s">
        <v>220</v>
      </c>
      <c r="E196" s="34" t="s">
        <v>1</v>
      </c>
      <c r="F196" s="35" t="s">
        <v>283</v>
      </c>
      <c r="G196" s="40">
        <v>46082</v>
      </c>
      <c r="H196" s="34" t="s">
        <v>11</v>
      </c>
      <c r="I196" s="21">
        <v>1</v>
      </c>
      <c r="J196" s="21">
        <f t="shared" si="11"/>
        <v>8</v>
      </c>
    </row>
    <row r="197" spans="1:10" ht="60" x14ac:dyDescent="0.2">
      <c r="A197" s="33">
        <f t="shared" ref="A197:A215" si="13">A196+1</f>
        <v>196</v>
      </c>
      <c r="B197" s="34" t="s">
        <v>327</v>
      </c>
      <c r="C197" s="34" t="s">
        <v>193</v>
      </c>
      <c r="D197" s="34" t="s">
        <v>220</v>
      </c>
      <c r="E197" s="34" t="s">
        <v>1</v>
      </c>
      <c r="F197" s="35" t="s">
        <v>283</v>
      </c>
      <c r="G197" s="40">
        <v>46082</v>
      </c>
      <c r="H197" s="34" t="s">
        <v>11</v>
      </c>
      <c r="I197" s="21">
        <v>1</v>
      </c>
      <c r="J197" s="21">
        <f t="shared" si="11"/>
        <v>8</v>
      </c>
    </row>
    <row r="198" spans="1:10" x14ac:dyDescent="0.2">
      <c r="A198" s="33">
        <f t="shared" si="13"/>
        <v>197</v>
      </c>
      <c r="B198" s="34" t="s">
        <v>322</v>
      </c>
      <c r="C198" s="34" t="s">
        <v>207</v>
      </c>
      <c r="D198" s="34" t="s">
        <v>221</v>
      </c>
      <c r="E198" s="34" t="s">
        <v>1</v>
      </c>
      <c r="F198" s="35" t="s">
        <v>283</v>
      </c>
      <c r="G198" s="40">
        <v>46023</v>
      </c>
      <c r="H198" s="34" t="s">
        <v>11</v>
      </c>
      <c r="I198" s="21">
        <v>1</v>
      </c>
      <c r="J198" s="21">
        <f t="shared" si="11"/>
        <v>8</v>
      </c>
    </row>
    <row r="199" spans="1:10" ht="30" x14ac:dyDescent="0.2">
      <c r="A199" s="33">
        <f t="shared" si="13"/>
        <v>198</v>
      </c>
      <c r="B199" s="34" t="s">
        <v>329</v>
      </c>
      <c r="C199" s="34" t="s">
        <v>205</v>
      </c>
      <c r="D199" s="34" t="s">
        <v>260</v>
      </c>
      <c r="E199" s="34" t="s">
        <v>1</v>
      </c>
      <c r="F199" s="34" t="s">
        <v>282</v>
      </c>
      <c r="G199" s="40">
        <v>46082</v>
      </c>
      <c r="H199" s="34" t="s">
        <v>11</v>
      </c>
      <c r="I199" s="21">
        <v>1</v>
      </c>
      <c r="J199" s="21">
        <f t="shared" si="11"/>
        <v>8</v>
      </c>
    </row>
    <row r="200" spans="1:10" ht="45" x14ac:dyDescent="0.2">
      <c r="A200" s="33">
        <f t="shared" si="13"/>
        <v>199</v>
      </c>
      <c r="B200" s="34" t="s">
        <v>320</v>
      </c>
      <c r="C200" s="34" t="s">
        <v>205</v>
      </c>
      <c r="D200" s="34" t="s">
        <v>260</v>
      </c>
      <c r="E200" s="34" t="s">
        <v>1</v>
      </c>
      <c r="F200" s="34" t="s">
        <v>282</v>
      </c>
      <c r="G200" s="40">
        <v>46082</v>
      </c>
      <c r="H200" s="34" t="s">
        <v>11</v>
      </c>
      <c r="I200" s="21">
        <v>1</v>
      </c>
      <c r="J200" s="21">
        <f t="shared" si="11"/>
        <v>8</v>
      </c>
    </row>
    <row r="201" spans="1:10" ht="30" x14ac:dyDescent="0.2">
      <c r="A201" s="33">
        <f t="shared" si="13"/>
        <v>200</v>
      </c>
      <c r="B201" s="34" t="s">
        <v>333</v>
      </c>
      <c r="C201" s="34" t="s">
        <v>205</v>
      </c>
      <c r="D201" s="34" t="s">
        <v>345</v>
      </c>
      <c r="E201" s="34" t="s">
        <v>1</v>
      </c>
      <c r="F201" s="35" t="s">
        <v>283</v>
      </c>
      <c r="G201" s="40">
        <v>46136</v>
      </c>
      <c r="H201" s="34" t="s">
        <v>11</v>
      </c>
      <c r="I201" s="21">
        <v>1</v>
      </c>
      <c r="J201" s="21">
        <f t="shared" ref="J201" si="14">I201*8</f>
        <v>8</v>
      </c>
    </row>
    <row r="202" spans="1:10" x14ac:dyDescent="0.2">
      <c r="A202" s="33">
        <f t="shared" si="13"/>
        <v>201</v>
      </c>
      <c r="B202" s="34" t="s">
        <v>303</v>
      </c>
      <c r="C202" s="34" t="s">
        <v>207</v>
      </c>
      <c r="D202" s="34" t="s">
        <v>219</v>
      </c>
      <c r="E202" s="34" t="s">
        <v>117</v>
      </c>
      <c r="F202" s="34" t="s">
        <v>282</v>
      </c>
      <c r="G202" s="40">
        <v>46174</v>
      </c>
      <c r="H202" s="34" t="s">
        <v>11</v>
      </c>
      <c r="I202" s="21">
        <v>2</v>
      </c>
      <c r="J202" s="21">
        <f t="shared" si="11"/>
        <v>16</v>
      </c>
    </row>
    <row r="203" spans="1:10" ht="30" x14ac:dyDescent="0.2">
      <c r="A203" s="33">
        <f t="shared" si="13"/>
        <v>202</v>
      </c>
      <c r="B203" s="34" t="s">
        <v>331</v>
      </c>
      <c r="C203" s="34" t="s">
        <v>205</v>
      </c>
      <c r="D203" s="34" t="s">
        <v>222</v>
      </c>
      <c r="E203" s="34" t="s">
        <v>1</v>
      </c>
      <c r="F203" s="34" t="s">
        <v>282</v>
      </c>
      <c r="G203" s="40">
        <v>46197</v>
      </c>
      <c r="H203" s="34" t="s">
        <v>11</v>
      </c>
      <c r="I203" s="21">
        <v>1</v>
      </c>
      <c r="J203" s="21">
        <f t="shared" si="11"/>
        <v>8</v>
      </c>
    </row>
    <row r="204" spans="1:10" ht="30" x14ac:dyDescent="0.2">
      <c r="A204" s="33">
        <f t="shared" si="13"/>
        <v>203</v>
      </c>
      <c r="B204" s="34" t="s">
        <v>333</v>
      </c>
      <c r="C204" s="34" t="s">
        <v>207</v>
      </c>
      <c r="D204" s="34" t="s">
        <v>140</v>
      </c>
      <c r="E204" s="34" t="s">
        <v>1</v>
      </c>
      <c r="F204" s="34" t="s">
        <v>282</v>
      </c>
      <c r="G204" s="40">
        <v>46168</v>
      </c>
      <c r="H204" s="34" t="s">
        <v>11</v>
      </c>
      <c r="I204" s="21">
        <v>1</v>
      </c>
      <c r="J204" s="21">
        <f t="shared" si="11"/>
        <v>8</v>
      </c>
    </row>
    <row r="205" spans="1:10" ht="45" x14ac:dyDescent="0.2">
      <c r="A205" s="33">
        <f t="shared" si="13"/>
        <v>204</v>
      </c>
      <c r="B205" s="34" t="s">
        <v>343</v>
      </c>
      <c r="C205" s="34" t="s">
        <v>207</v>
      </c>
      <c r="D205" s="34" t="s">
        <v>140</v>
      </c>
      <c r="E205" s="34" t="s">
        <v>1</v>
      </c>
      <c r="F205" s="34" t="s">
        <v>282</v>
      </c>
      <c r="G205" s="40">
        <v>46169</v>
      </c>
      <c r="H205" s="34" t="s">
        <v>11</v>
      </c>
      <c r="I205" s="21">
        <v>1</v>
      </c>
      <c r="J205" s="21">
        <f t="shared" ref="J205" si="15">I205*8</f>
        <v>8</v>
      </c>
    </row>
    <row r="206" spans="1:10" ht="75" x14ac:dyDescent="0.2">
      <c r="A206" s="33">
        <f t="shared" si="13"/>
        <v>205</v>
      </c>
      <c r="B206" s="34" t="s">
        <v>332</v>
      </c>
      <c r="C206" s="34" t="s">
        <v>207</v>
      </c>
      <c r="D206" s="34" t="s">
        <v>262</v>
      </c>
      <c r="E206" s="34" t="s">
        <v>1</v>
      </c>
      <c r="F206" s="34" t="s">
        <v>282</v>
      </c>
      <c r="G206" s="40">
        <v>46146</v>
      </c>
      <c r="H206" s="34" t="s">
        <v>11</v>
      </c>
      <c r="I206" s="21">
        <v>1</v>
      </c>
      <c r="J206" s="21">
        <f t="shared" si="11"/>
        <v>8</v>
      </c>
    </row>
    <row r="207" spans="1:10" ht="45" x14ac:dyDescent="0.2">
      <c r="A207" s="33">
        <f t="shared" si="13"/>
        <v>206</v>
      </c>
      <c r="B207" s="34" t="s">
        <v>320</v>
      </c>
      <c r="C207" s="34" t="s">
        <v>207</v>
      </c>
      <c r="D207" s="34" t="s">
        <v>262</v>
      </c>
      <c r="E207" s="34" t="s">
        <v>1</v>
      </c>
      <c r="F207" s="34" t="s">
        <v>282</v>
      </c>
      <c r="G207" s="40">
        <v>46153</v>
      </c>
      <c r="H207" s="34" t="s">
        <v>11</v>
      </c>
      <c r="I207" s="21">
        <v>1</v>
      </c>
      <c r="J207" s="21">
        <f t="shared" si="11"/>
        <v>8</v>
      </c>
    </row>
    <row r="208" spans="1:10" ht="45" x14ac:dyDescent="0.2">
      <c r="A208" s="33">
        <f t="shared" si="13"/>
        <v>207</v>
      </c>
      <c r="B208" s="34" t="s">
        <v>310</v>
      </c>
      <c r="C208" s="34" t="s">
        <v>207</v>
      </c>
      <c r="D208" s="34" t="s">
        <v>140</v>
      </c>
      <c r="E208" s="34" t="s">
        <v>1</v>
      </c>
      <c r="F208" s="34" t="s">
        <v>282</v>
      </c>
      <c r="G208" s="40">
        <v>46143</v>
      </c>
      <c r="H208" s="34" t="s">
        <v>11</v>
      </c>
      <c r="I208" s="21">
        <v>1</v>
      </c>
      <c r="J208" s="21">
        <f t="shared" si="11"/>
        <v>8</v>
      </c>
    </row>
    <row r="209" spans="1:10" ht="75" x14ac:dyDescent="0.2">
      <c r="A209" s="33">
        <f t="shared" si="13"/>
        <v>208</v>
      </c>
      <c r="B209" s="34" t="s">
        <v>332</v>
      </c>
      <c r="C209" s="34" t="s">
        <v>207</v>
      </c>
      <c r="D209" s="34" t="s">
        <v>338</v>
      </c>
      <c r="E209" s="34" t="s">
        <v>1</v>
      </c>
      <c r="F209" s="35" t="s">
        <v>283</v>
      </c>
      <c r="G209" s="40">
        <v>46154</v>
      </c>
      <c r="H209" s="34" t="s">
        <v>11</v>
      </c>
      <c r="I209" s="21">
        <v>1</v>
      </c>
      <c r="J209" s="21">
        <f t="shared" ref="J209" si="16">I209*8</f>
        <v>8</v>
      </c>
    </row>
    <row r="210" spans="1:10" ht="30" x14ac:dyDescent="0.2">
      <c r="A210" s="33">
        <f t="shared" si="13"/>
        <v>209</v>
      </c>
      <c r="B210" s="34" t="s">
        <v>303</v>
      </c>
      <c r="C210" s="34" t="s">
        <v>290</v>
      </c>
      <c r="D210" s="34" t="s">
        <v>292</v>
      </c>
      <c r="E210" s="34" t="s">
        <v>3</v>
      </c>
      <c r="F210" s="35" t="s">
        <v>283</v>
      </c>
      <c r="G210" s="40" t="s">
        <v>291</v>
      </c>
      <c r="H210" s="34"/>
      <c r="I210" s="21">
        <v>2</v>
      </c>
      <c r="J210" s="21">
        <f t="shared" si="11"/>
        <v>16</v>
      </c>
    </row>
    <row r="211" spans="1:10" ht="60" x14ac:dyDescent="0.2">
      <c r="A211" s="33">
        <f t="shared" si="13"/>
        <v>210</v>
      </c>
      <c r="B211" s="34" t="s">
        <v>311</v>
      </c>
      <c r="C211" s="34" t="s">
        <v>207</v>
      </c>
      <c r="D211" s="34" t="s">
        <v>223</v>
      </c>
      <c r="E211" s="34" t="s">
        <v>1</v>
      </c>
      <c r="F211" s="34" t="s">
        <v>282</v>
      </c>
      <c r="G211" s="40">
        <v>46217</v>
      </c>
      <c r="H211" s="34" t="s">
        <v>11</v>
      </c>
      <c r="I211" s="21">
        <v>1</v>
      </c>
      <c r="J211" s="21">
        <f t="shared" si="11"/>
        <v>8</v>
      </c>
    </row>
    <row r="212" spans="1:10" ht="30" x14ac:dyDescent="0.2">
      <c r="A212" s="33">
        <f t="shared" si="13"/>
        <v>211</v>
      </c>
      <c r="B212" s="34" t="s">
        <v>318</v>
      </c>
      <c r="C212" s="34" t="s">
        <v>207</v>
      </c>
      <c r="D212" s="34" t="s">
        <v>223</v>
      </c>
      <c r="E212" s="34" t="s">
        <v>1</v>
      </c>
      <c r="F212" s="34" t="s">
        <v>282</v>
      </c>
      <c r="G212" s="40">
        <v>46218</v>
      </c>
      <c r="H212" s="34" t="s">
        <v>11</v>
      </c>
      <c r="I212" s="21">
        <v>1</v>
      </c>
      <c r="J212" s="21">
        <f t="shared" si="11"/>
        <v>8</v>
      </c>
    </row>
    <row r="213" spans="1:10" ht="60" x14ac:dyDescent="0.2">
      <c r="A213" s="33">
        <f t="shared" si="13"/>
        <v>212</v>
      </c>
      <c r="B213" s="34" t="s">
        <v>311</v>
      </c>
      <c r="C213" s="34" t="s">
        <v>207</v>
      </c>
      <c r="D213" s="34" t="s">
        <v>224</v>
      </c>
      <c r="E213" s="34" t="s">
        <v>1</v>
      </c>
      <c r="F213" s="34" t="s">
        <v>282</v>
      </c>
      <c r="G213" s="40">
        <v>46246</v>
      </c>
      <c r="H213" s="34" t="s">
        <v>11</v>
      </c>
      <c r="I213" s="21">
        <v>1</v>
      </c>
      <c r="J213" s="21">
        <f t="shared" si="11"/>
        <v>8</v>
      </c>
    </row>
    <row r="214" spans="1:10" ht="45" x14ac:dyDescent="0.2">
      <c r="A214" s="33">
        <f t="shared" si="13"/>
        <v>213</v>
      </c>
      <c r="B214" s="34" t="s">
        <v>343</v>
      </c>
      <c r="C214" s="34" t="s">
        <v>207</v>
      </c>
      <c r="D214" s="34" t="s">
        <v>224</v>
      </c>
      <c r="E214" s="34" t="s">
        <v>1</v>
      </c>
      <c r="F214" s="34" t="s">
        <v>282</v>
      </c>
      <c r="G214" s="40">
        <v>46247</v>
      </c>
      <c r="H214" s="34" t="s">
        <v>11</v>
      </c>
      <c r="I214" s="21">
        <v>1</v>
      </c>
      <c r="J214" s="21">
        <f t="shared" si="11"/>
        <v>8</v>
      </c>
    </row>
    <row r="215" spans="1:10" x14ac:dyDescent="0.2">
      <c r="A215" s="33">
        <f t="shared" si="13"/>
        <v>214</v>
      </c>
      <c r="B215" s="34" t="s">
        <v>322</v>
      </c>
      <c r="C215" s="34" t="s">
        <v>341</v>
      </c>
      <c r="D215" s="34" t="s">
        <v>342</v>
      </c>
      <c r="E215" s="34" t="s">
        <v>159</v>
      </c>
      <c r="F215" s="34" t="s">
        <v>282</v>
      </c>
      <c r="G215" s="40">
        <v>46253</v>
      </c>
      <c r="H215" s="34" t="s">
        <v>11</v>
      </c>
      <c r="I215" s="21">
        <v>1</v>
      </c>
      <c r="J215" s="21">
        <f t="shared" ref="J215" si="17">I215*8</f>
        <v>8</v>
      </c>
    </row>
    <row r="216" spans="1:10" x14ac:dyDescent="0.2">
      <c r="A216" s="31"/>
      <c r="B216" s="25"/>
      <c r="C216" s="25"/>
      <c r="D216" s="25"/>
      <c r="E216" s="25"/>
      <c r="F216" s="25"/>
      <c r="G216" s="41"/>
      <c r="H216" s="25"/>
      <c r="I216" s="36">
        <f>SUM(I2:I214)</f>
        <v>277.25</v>
      </c>
      <c r="J216" s="36">
        <f>SUM(J2:J214)</f>
        <v>2211</v>
      </c>
    </row>
    <row r="217" spans="1:10" x14ac:dyDescent="0.2">
      <c r="A217" s="31"/>
      <c r="B217" s="25"/>
      <c r="C217" s="25"/>
      <c r="D217" s="25"/>
      <c r="E217" s="25"/>
      <c r="F217" s="25"/>
      <c r="G217" s="41"/>
      <c r="H217" s="25"/>
      <c r="I217" s="21"/>
      <c r="J217" s="21"/>
    </row>
    <row r="218" spans="1:10" x14ac:dyDescent="0.2">
      <c r="A218" s="31"/>
      <c r="B218" s="25"/>
      <c r="C218" s="25"/>
      <c r="D218" s="25"/>
      <c r="E218" s="25"/>
      <c r="F218" s="25"/>
      <c r="G218" s="41"/>
      <c r="H218" s="25"/>
      <c r="I218" s="21"/>
      <c r="J218" s="21"/>
    </row>
    <row r="219" spans="1:10" x14ac:dyDescent="0.2">
      <c r="A219" s="31"/>
      <c r="B219" s="25"/>
    </row>
    <row r="220" spans="1:10" x14ac:dyDescent="0.2">
      <c r="A220" s="31"/>
    </row>
    <row r="221" spans="1:10" x14ac:dyDescent="0.2">
      <c r="A221" s="31"/>
    </row>
    <row r="222" spans="1:10" x14ac:dyDescent="0.2">
      <c r="A222" s="31"/>
    </row>
    <row r="223" spans="1:10" x14ac:dyDescent="0.2">
      <c r="A223" s="31"/>
    </row>
    <row r="224" spans="1:10" x14ac:dyDescent="0.2">
      <c r="A224" s="31"/>
    </row>
  </sheetData>
  <autoFilter ref="A1:J216" xr:uid="{39B8E77F-D1B6-4F03-BF37-3B83F55EBEC0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65438-1070-4F4B-8653-2DA198B0202F}">
  <dimension ref="A1:J62"/>
  <sheetViews>
    <sheetView tabSelected="1" topLeftCell="A25" zoomScale="130" zoomScaleNormal="130" workbookViewId="0">
      <selection activeCell="H37" sqref="H37"/>
    </sheetView>
  </sheetViews>
  <sheetFormatPr baseColWidth="10" defaultColWidth="8.83203125" defaultRowHeight="15" x14ac:dyDescent="0.2"/>
  <cols>
    <col min="1" max="1" width="4.5" customWidth="1"/>
    <col min="2" max="2" width="26.6640625" customWidth="1"/>
    <col min="3" max="4" width="16.83203125" customWidth="1"/>
    <col min="5" max="5" width="11" customWidth="1"/>
    <col min="6" max="6" width="11.33203125" customWidth="1"/>
    <col min="7" max="7" width="18.6640625" customWidth="1"/>
    <col min="10" max="10" width="22.6640625" customWidth="1"/>
  </cols>
  <sheetData>
    <row r="1" spans="1:10" ht="16" thickBot="1" x14ac:dyDescent="0.25">
      <c r="A1" s="1" t="s">
        <v>6</v>
      </c>
      <c r="B1" s="2" t="s">
        <v>21</v>
      </c>
      <c r="C1" s="2" t="s">
        <v>226</v>
      </c>
      <c r="D1" s="2" t="s">
        <v>175</v>
      </c>
      <c r="E1" s="2" t="s">
        <v>0</v>
      </c>
      <c r="F1" s="2" t="s">
        <v>9</v>
      </c>
      <c r="G1" s="2" t="s">
        <v>10</v>
      </c>
    </row>
    <row r="2" spans="1:10" ht="31" thickBot="1" x14ac:dyDescent="0.25">
      <c r="A2" s="6">
        <v>1</v>
      </c>
      <c r="B2" s="7" t="s">
        <v>22</v>
      </c>
      <c r="C2" s="34" t="s">
        <v>177</v>
      </c>
      <c r="D2" s="9" t="s">
        <v>178</v>
      </c>
      <c r="E2" s="10" t="s">
        <v>23</v>
      </c>
      <c r="F2" s="8">
        <v>43009</v>
      </c>
      <c r="G2" s="7" t="s">
        <v>13</v>
      </c>
      <c r="H2" s="21">
        <v>3</v>
      </c>
      <c r="I2" s="21">
        <f>H2*8</f>
        <v>24</v>
      </c>
    </row>
    <row r="3" spans="1:10" ht="31" thickBot="1" x14ac:dyDescent="0.25">
      <c r="A3" s="6">
        <v>2</v>
      </c>
      <c r="B3" s="4" t="s">
        <v>24</v>
      </c>
      <c r="C3" s="34" t="s">
        <v>177</v>
      </c>
      <c r="D3" s="9" t="s">
        <v>227</v>
      </c>
      <c r="E3" s="10" t="s">
        <v>23</v>
      </c>
      <c r="F3" s="8">
        <v>43040</v>
      </c>
      <c r="G3" s="7" t="s">
        <v>25</v>
      </c>
      <c r="H3" s="21">
        <v>3</v>
      </c>
      <c r="I3" s="21">
        <f t="shared" ref="I3:I15" si="0">H3*8</f>
        <v>24</v>
      </c>
    </row>
    <row r="4" spans="1:10" ht="46" thickBot="1" x14ac:dyDescent="0.25">
      <c r="A4" s="6">
        <v>3</v>
      </c>
      <c r="B4" s="4" t="s">
        <v>228</v>
      </c>
      <c r="C4" s="34" t="s">
        <v>177</v>
      </c>
      <c r="D4" s="9" t="s">
        <v>229</v>
      </c>
      <c r="E4" s="10" t="s">
        <v>26</v>
      </c>
      <c r="F4" s="9" t="s">
        <v>27</v>
      </c>
      <c r="G4" s="7" t="s">
        <v>28</v>
      </c>
      <c r="H4" s="21">
        <v>28</v>
      </c>
      <c r="I4" s="21">
        <f t="shared" si="0"/>
        <v>224</v>
      </c>
    </row>
    <row r="5" spans="1:10" ht="46" thickBot="1" x14ac:dyDescent="0.25">
      <c r="A5" s="6">
        <v>4</v>
      </c>
      <c r="B5" s="4" t="s">
        <v>337</v>
      </c>
      <c r="C5" s="9" t="s">
        <v>179</v>
      </c>
      <c r="D5" s="9" t="s">
        <v>230</v>
      </c>
      <c r="E5" s="10" t="s">
        <v>29</v>
      </c>
      <c r="F5" s="9" t="s">
        <v>30</v>
      </c>
      <c r="G5" s="7" t="s">
        <v>31</v>
      </c>
      <c r="H5" s="21">
        <v>5</v>
      </c>
      <c r="I5" s="21">
        <f t="shared" si="0"/>
        <v>40</v>
      </c>
    </row>
    <row r="6" spans="1:10" ht="61" thickBot="1" x14ac:dyDescent="0.25">
      <c r="A6" s="6">
        <v>5</v>
      </c>
      <c r="B6" s="4" t="s">
        <v>32</v>
      </c>
      <c r="C6" s="9" t="s">
        <v>231</v>
      </c>
      <c r="D6" s="9" t="s">
        <v>264</v>
      </c>
      <c r="E6" s="10" t="s">
        <v>33</v>
      </c>
      <c r="F6" s="8">
        <v>43678</v>
      </c>
      <c r="G6" s="7" t="s">
        <v>34</v>
      </c>
      <c r="H6" s="21">
        <v>1</v>
      </c>
      <c r="I6" s="21">
        <f t="shared" si="0"/>
        <v>8</v>
      </c>
    </row>
    <row r="7" spans="1:10" ht="46" thickBot="1" x14ac:dyDescent="0.25">
      <c r="A7" s="6">
        <v>6</v>
      </c>
      <c r="B7" s="4" t="s">
        <v>232</v>
      </c>
      <c r="C7" s="9" t="s">
        <v>234</v>
      </c>
      <c r="D7" s="9" t="s">
        <v>233</v>
      </c>
      <c r="E7" s="10" t="s">
        <v>33</v>
      </c>
      <c r="F7" s="8">
        <v>43739</v>
      </c>
      <c r="G7" s="7" t="s">
        <v>35</v>
      </c>
      <c r="H7" s="21">
        <v>1</v>
      </c>
      <c r="I7" s="21">
        <f t="shared" si="0"/>
        <v>8</v>
      </c>
    </row>
    <row r="8" spans="1:10" ht="91" thickBot="1" x14ac:dyDescent="0.25">
      <c r="A8" s="6">
        <v>7</v>
      </c>
      <c r="B8" s="4" t="s">
        <v>36</v>
      </c>
      <c r="C8" s="9" t="s">
        <v>15</v>
      </c>
      <c r="D8" s="9" t="s">
        <v>37</v>
      </c>
      <c r="E8" s="10" t="s">
        <v>29</v>
      </c>
      <c r="F8" s="8">
        <v>43739</v>
      </c>
      <c r="G8" s="7" t="s">
        <v>38</v>
      </c>
      <c r="H8" s="21">
        <v>5</v>
      </c>
      <c r="I8" s="21">
        <f t="shared" si="0"/>
        <v>40</v>
      </c>
    </row>
    <row r="9" spans="1:10" ht="46" thickBot="1" x14ac:dyDescent="0.25">
      <c r="A9" s="6">
        <v>8</v>
      </c>
      <c r="B9" s="4" t="s">
        <v>39</v>
      </c>
      <c r="C9" s="9" t="s">
        <v>231</v>
      </c>
      <c r="D9" s="9" t="s">
        <v>40</v>
      </c>
      <c r="E9" s="10" t="s">
        <v>41</v>
      </c>
      <c r="F9" s="9" t="s">
        <v>42</v>
      </c>
      <c r="G9" s="7" t="s">
        <v>43</v>
      </c>
      <c r="H9" s="21">
        <v>4</v>
      </c>
      <c r="I9" s="21">
        <f t="shared" si="0"/>
        <v>32</v>
      </c>
    </row>
    <row r="10" spans="1:10" ht="61" thickBot="1" x14ac:dyDescent="0.25">
      <c r="A10" s="6">
        <v>9</v>
      </c>
      <c r="B10" s="4" t="s">
        <v>44</v>
      </c>
      <c r="C10" s="9" t="s">
        <v>179</v>
      </c>
      <c r="D10" s="9" t="s">
        <v>45</v>
      </c>
      <c r="E10" s="10" t="s">
        <v>46</v>
      </c>
      <c r="F10" s="9" t="s">
        <v>47</v>
      </c>
      <c r="G10" s="7" t="s">
        <v>48</v>
      </c>
      <c r="H10" s="21">
        <v>16</v>
      </c>
      <c r="I10" s="21">
        <f t="shared" si="0"/>
        <v>128</v>
      </c>
    </row>
    <row r="11" spans="1:10" ht="76" thickBot="1" x14ac:dyDescent="0.25">
      <c r="A11" s="6">
        <v>10</v>
      </c>
      <c r="B11" s="4" t="s">
        <v>49</v>
      </c>
      <c r="C11" s="9" t="s">
        <v>184</v>
      </c>
      <c r="D11" s="9" t="s">
        <v>50</v>
      </c>
      <c r="E11" s="10" t="s">
        <v>41</v>
      </c>
      <c r="F11" s="9" t="s">
        <v>51</v>
      </c>
      <c r="G11" s="7" t="s">
        <v>11</v>
      </c>
      <c r="H11" s="21">
        <v>4</v>
      </c>
      <c r="I11" s="21">
        <f t="shared" si="0"/>
        <v>32</v>
      </c>
    </row>
    <row r="12" spans="1:10" ht="46" thickBot="1" x14ac:dyDescent="0.25">
      <c r="A12" s="6">
        <v>11</v>
      </c>
      <c r="B12" s="4" t="s">
        <v>72</v>
      </c>
      <c r="C12" s="4" t="s">
        <v>196</v>
      </c>
      <c r="D12" s="23" t="s">
        <v>197</v>
      </c>
      <c r="E12" s="10" t="s">
        <v>61</v>
      </c>
      <c r="F12" s="8">
        <v>43800</v>
      </c>
      <c r="G12" s="9" t="s">
        <v>73</v>
      </c>
      <c r="H12">
        <v>2</v>
      </c>
      <c r="I12">
        <f>H12*8</f>
        <v>16</v>
      </c>
      <c r="J12" s="37" t="s">
        <v>255</v>
      </c>
    </row>
    <row r="13" spans="1:10" ht="61" thickBot="1" x14ac:dyDescent="0.25">
      <c r="A13" s="6">
        <v>12</v>
      </c>
      <c r="B13" s="4" t="s">
        <v>119</v>
      </c>
      <c r="C13" s="4" t="s">
        <v>231</v>
      </c>
      <c r="D13" s="23" t="s">
        <v>257</v>
      </c>
      <c r="E13" s="10" t="s">
        <v>74</v>
      </c>
      <c r="F13" s="8">
        <v>44044</v>
      </c>
      <c r="G13" s="9" t="s">
        <v>11</v>
      </c>
      <c r="H13">
        <v>1</v>
      </c>
      <c r="I13">
        <f>H13*8</f>
        <v>8</v>
      </c>
      <c r="J13" s="37" t="s">
        <v>255</v>
      </c>
    </row>
    <row r="14" spans="1:10" ht="46" thickBot="1" x14ac:dyDescent="0.25">
      <c r="A14" s="6">
        <v>13</v>
      </c>
      <c r="B14" s="4" t="s">
        <v>84</v>
      </c>
      <c r="C14" s="9" t="s">
        <v>179</v>
      </c>
      <c r="D14" s="19" t="s">
        <v>83</v>
      </c>
      <c r="E14" s="10" t="s">
        <v>61</v>
      </c>
      <c r="F14" s="5">
        <v>44287</v>
      </c>
      <c r="G14" s="7" t="s">
        <v>11</v>
      </c>
      <c r="H14" s="21">
        <v>2</v>
      </c>
      <c r="I14" s="21">
        <f t="shared" si="0"/>
        <v>16</v>
      </c>
    </row>
    <row r="15" spans="1:10" ht="46" thickBot="1" x14ac:dyDescent="0.25">
      <c r="A15" s="6">
        <v>14</v>
      </c>
      <c r="B15" s="4" t="s">
        <v>85</v>
      </c>
      <c r="C15" s="9" t="s">
        <v>231</v>
      </c>
      <c r="D15" s="9" t="s">
        <v>86</v>
      </c>
      <c r="E15" s="10" t="s">
        <v>33</v>
      </c>
      <c r="F15" s="5">
        <v>44292</v>
      </c>
      <c r="G15" s="7" t="s">
        <v>87</v>
      </c>
      <c r="H15" s="21">
        <v>1</v>
      </c>
      <c r="I15" s="21">
        <f t="shared" si="0"/>
        <v>8</v>
      </c>
    </row>
    <row r="16" spans="1:10" ht="76" thickBot="1" x14ac:dyDescent="0.25">
      <c r="A16" s="6">
        <v>15</v>
      </c>
      <c r="B16" s="4" t="s">
        <v>49</v>
      </c>
      <c r="C16" s="9" t="s">
        <v>179</v>
      </c>
      <c r="D16" s="20" t="s">
        <v>94</v>
      </c>
      <c r="E16" s="18" t="s">
        <v>33</v>
      </c>
      <c r="F16" s="15">
        <v>44287</v>
      </c>
      <c r="G16" s="14" t="s">
        <v>11</v>
      </c>
      <c r="H16" s="21">
        <v>1</v>
      </c>
      <c r="I16" s="21">
        <f>H16*8</f>
        <v>8</v>
      </c>
    </row>
    <row r="17" spans="1:10" ht="61" thickBot="1" x14ac:dyDescent="0.25">
      <c r="A17" s="6">
        <v>16</v>
      </c>
      <c r="B17" s="16" t="s">
        <v>95</v>
      </c>
      <c r="C17" s="9" t="s">
        <v>179</v>
      </c>
      <c r="D17" s="19" t="s">
        <v>96</v>
      </c>
      <c r="E17" s="18" t="s">
        <v>41</v>
      </c>
      <c r="F17" s="12" t="s">
        <v>97</v>
      </c>
      <c r="G17" s="14" t="s">
        <v>11</v>
      </c>
      <c r="H17" s="21">
        <v>4</v>
      </c>
      <c r="I17" s="21">
        <f>H17*8</f>
        <v>32</v>
      </c>
    </row>
    <row r="18" spans="1:10" ht="61" thickBot="1" x14ac:dyDescent="0.25">
      <c r="A18" s="6">
        <v>17</v>
      </c>
      <c r="B18" s="16" t="s">
        <v>95</v>
      </c>
      <c r="C18" s="19" t="s">
        <v>186</v>
      </c>
      <c r="D18" s="19" t="s">
        <v>98</v>
      </c>
      <c r="E18" s="18" t="s">
        <v>29</v>
      </c>
      <c r="F18" s="12" t="s">
        <v>99</v>
      </c>
      <c r="G18" s="14" t="s">
        <v>11</v>
      </c>
      <c r="H18" s="21">
        <v>3</v>
      </c>
      <c r="I18" s="21">
        <f>H18*8</f>
        <v>24</v>
      </c>
    </row>
    <row r="19" spans="1:10" ht="31" thickBot="1" x14ac:dyDescent="0.25">
      <c r="A19" s="6">
        <v>18</v>
      </c>
      <c r="B19" s="16" t="s">
        <v>109</v>
      </c>
      <c r="C19" s="19" t="s">
        <v>231</v>
      </c>
      <c r="D19" s="19" t="s">
        <v>110</v>
      </c>
      <c r="E19" s="18" t="s">
        <v>111</v>
      </c>
      <c r="F19" s="12" t="s">
        <v>112</v>
      </c>
      <c r="G19" s="14" t="s">
        <v>11</v>
      </c>
      <c r="H19" s="21">
        <v>0.5</v>
      </c>
      <c r="I19" s="21">
        <f>H19*8</f>
        <v>4</v>
      </c>
    </row>
    <row r="20" spans="1:10" ht="61" thickBot="1" x14ac:dyDescent="0.25">
      <c r="A20" s="6">
        <v>19</v>
      </c>
      <c r="B20" s="16" t="s">
        <v>124</v>
      </c>
      <c r="C20" s="19" t="s">
        <v>15</v>
      </c>
      <c r="D20" s="19" t="s">
        <v>123</v>
      </c>
      <c r="E20" s="18" t="s">
        <v>358</v>
      </c>
      <c r="F20" s="15">
        <v>44440</v>
      </c>
      <c r="G20" s="14" t="s">
        <v>11</v>
      </c>
      <c r="H20" s="21">
        <v>5</v>
      </c>
      <c r="I20" s="21">
        <f t="shared" ref="I20:I28" si="1">H20*8</f>
        <v>40</v>
      </c>
    </row>
    <row r="21" spans="1:10" ht="46" thickBot="1" x14ac:dyDescent="0.25">
      <c r="A21" s="6">
        <v>20</v>
      </c>
      <c r="B21" s="4" t="s">
        <v>85</v>
      </c>
      <c r="C21" s="19" t="s">
        <v>15</v>
      </c>
      <c r="D21" s="19" t="s">
        <v>359</v>
      </c>
      <c r="E21" s="18" t="s">
        <v>128</v>
      </c>
      <c r="F21" s="15">
        <v>44533</v>
      </c>
      <c r="G21" s="14" t="s">
        <v>11</v>
      </c>
      <c r="H21" s="21">
        <v>1</v>
      </c>
      <c r="I21" s="21">
        <f t="shared" ref="I21" si="2">H21*8</f>
        <v>8</v>
      </c>
    </row>
    <row r="22" spans="1:10" ht="61" thickBot="1" x14ac:dyDescent="0.25">
      <c r="A22" s="6">
        <v>21</v>
      </c>
      <c r="B22" s="16" t="s">
        <v>95</v>
      </c>
      <c r="C22" s="19" t="s">
        <v>231</v>
      </c>
      <c r="D22" s="19" t="s">
        <v>110</v>
      </c>
      <c r="E22" s="18" t="s">
        <v>113</v>
      </c>
      <c r="F22" s="15">
        <v>44531</v>
      </c>
      <c r="G22" s="14" t="s">
        <v>11</v>
      </c>
      <c r="H22" s="21">
        <v>2</v>
      </c>
      <c r="I22" s="21">
        <f t="shared" si="1"/>
        <v>16</v>
      </c>
    </row>
    <row r="23" spans="1:10" ht="61" thickBot="1" x14ac:dyDescent="0.25">
      <c r="A23" s="6">
        <v>22</v>
      </c>
      <c r="B23" s="16" t="s">
        <v>125</v>
      </c>
      <c r="C23" s="19" t="s">
        <v>186</v>
      </c>
      <c r="D23" s="19" t="s">
        <v>98</v>
      </c>
      <c r="E23" s="18" t="s">
        <v>126</v>
      </c>
      <c r="F23" s="15">
        <v>44531</v>
      </c>
      <c r="G23" s="14" t="s">
        <v>11</v>
      </c>
      <c r="H23" s="21">
        <v>5</v>
      </c>
      <c r="I23" s="21">
        <f t="shared" si="1"/>
        <v>40</v>
      </c>
    </row>
    <row r="24" spans="1:10" ht="61" thickBot="1" x14ac:dyDescent="0.25">
      <c r="A24" s="6">
        <v>23</v>
      </c>
      <c r="B24" s="16" t="s">
        <v>95</v>
      </c>
      <c r="C24" s="19" t="s">
        <v>231</v>
      </c>
      <c r="D24" s="19" t="s">
        <v>110</v>
      </c>
      <c r="E24" s="18" t="s">
        <v>113</v>
      </c>
      <c r="F24" s="15">
        <v>44531</v>
      </c>
      <c r="G24" s="14" t="s">
        <v>11</v>
      </c>
      <c r="H24" s="21">
        <v>2</v>
      </c>
      <c r="I24" s="21">
        <f t="shared" si="1"/>
        <v>16</v>
      </c>
    </row>
    <row r="25" spans="1:10" ht="61" thickBot="1" x14ac:dyDescent="0.25">
      <c r="A25" s="6">
        <v>24</v>
      </c>
      <c r="B25" s="16" t="s">
        <v>129</v>
      </c>
      <c r="C25" s="19" t="s">
        <v>15</v>
      </c>
      <c r="D25" s="19" t="s">
        <v>127</v>
      </c>
      <c r="E25" s="18" t="s">
        <v>126</v>
      </c>
      <c r="F25" s="15">
        <v>44562</v>
      </c>
      <c r="G25" s="14" t="s">
        <v>11</v>
      </c>
      <c r="H25" s="21">
        <v>5</v>
      </c>
      <c r="I25" s="21">
        <f t="shared" si="1"/>
        <v>40</v>
      </c>
    </row>
    <row r="26" spans="1:10" ht="61" thickBot="1" x14ac:dyDescent="0.25">
      <c r="A26" s="6">
        <v>25</v>
      </c>
      <c r="B26" s="16" t="s">
        <v>131</v>
      </c>
      <c r="C26" s="19" t="s">
        <v>231</v>
      </c>
      <c r="D26" s="19" t="s">
        <v>256</v>
      </c>
      <c r="E26" s="18" t="s">
        <v>128</v>
      </c>
      <c r="F26" s="15">
        <v>44579</v>
      </c>
      <c r="G26" s="14" t="s">
        <v>11</v>
      </c>
      <c r="H26" s="21">
        <v>1</v>
      </c>
      <c r="I26" s="21">
        <f t="shared" si="1"/>
        <v>8</v>
      </c>
    </row>
    <row r="27" spans="1:10" ht="61" thickBot="1" x14ac:dyDescent="0.25">
      <c r="A27" s="6">
        <v>26</v>
      </c>
      <c r="B27" s="16" t="s">
        <v>132</v>
      </c>
      <c r="C27" s="19" t="s">
        <v>15</v>
      </c>
      <c r="D27" s="19" t="s">
        <v>235</v>
      </c>
      <c r="E27" s="18" t="s">
        <v>128</v>
      </c>
      <c r="F27" s="15">
        <v>44596</v>
      </c>
      <c r="G27" s="14" t="s">
        <v>11</v>
      </c>
      <c r="H27" s="21">
        <v>1</v>
      </c>
      <c r="I27" s="21">
        <f t="shared" si="1"/>
        <v>8</v>
      </c>
    </row>
    <row r="28" spans="1:10" ht="31" thickBot="1" x14ac:dyDescent="0.25">
      <c r="A28" s="6">
        <v>27</v>
      </c>
      <c r="B28" s="16" t="s">
        <v>138</v>
      </c>
      <c r="C28" s="19" t="s">
        <v>231</v>
      </c>
      <c r="D28" s="19" t="s">
        <v>110</v>
      </c>
      <c r="E28" s="18" t="s">
        <v>128</v>
      </c>
      <c r="F28" s="15" t="s">
        <v>139</v>
      </c>
      <c r="G28" s="14" t="s">
        <v>11</v>
      </c>
      <c r="H28" s="21">
        <v>1</v>
      </c>
      <c r="I28" s="21">
        <f t="shared" si="1"/>
        <v>8</v>
      </c>
    </row>
    <row r="29" spans="1:10" ht="61" thickBot="1" x14ac:dyDescent="0.25">
      <c r="A29" s="6">
        <v>28</v>
      </c>
      <c r="B29" s="16" t="s">
        <v>95</v>
      </c>
      <c r="C29" s="19" t="s">
        <v>357</v>
      </c>
      <c r="D29" s="19" t="s">
        <v>356</v>
      </c>
      <c r="E29" s="18" t="s">
        <v>29</v>
      </c>
      <c r="F29" s="15">
        <v>44637</v>
      </c>
      <c r="G29" s="14" t="s">
        <v>48</v>
      </c>
      <c r="H29" s="21">
        <v>5</v>
      </c>
      <c r="I29" s="21">
        <f t="shared" ref="I29" si="3">H29*8</f>
        <v>40</v>
      </c>
    </row>
    <row r="30" spans="1:10" ht="31" thickBot="1" x14ac:dyDescent="0.25">
      <c r="A30" s="6">
        <v>29</v>
      </c>
      <c r="B30" s="16" t="s">
        <v>141</v>
      </c>
      <c r="C30" s="19" t="s">
        <v>15</v>
      </c>
      <c r="D30" s="19" t="s">
        <v>140</v>
      </c>
      <c r="E30" s="18" t="s">
        <v>128</v>
      </c>
      <c r="F30" s="15"/>
      <c r="G30" s="14" t="s">
        <v>11</v>
      </c>
      <c r="H30" s="21">
        <v>1</v>
      </c>
      <c r="I30" s="21">
        <f t="shared" ref="I30:I39" si="4">H30*8</f>
        <v>8</v>
      </c>
    </row>
    <row r="31" spans="1:10" ht="31" thickBot="1" x14ac:dyDescent="0.25">
      <c r="A31" s="6">
        <v>30</v>
      </c>
      <c r="B31" s="16" t="s">
        <v>142</v>
      </c>
      <c r="C31" s="19" t="s">
        <v>15</v>
      </c>
      <c r="D31" s="19" t="s">
        <v>140</v>
      </c>
      <c r="E31" s="18" t="s">
        <v>128</v>
      </c>
      <c r="F31" s="15"/>
      <c r="G31" s="14" t="s">
        <v>11</v>
      </c>
      <c r="H31" s="21">
        <v>1</v>
      </c>
      <c r="I31" s="21">
        <f t="shared" si="4"/>
        <v>8</v>
      </c>
      <c r="J31" s="47"/>
    </row>
    <row r="32" spans="1:10" ht="31" thickBot="1" x14ac:dyDescent="0.25">
      <c r="A32" s="6">
        <v>31</v>
      </c>
      <c r="B32" s="16" t="s">
        <v>143</v>
      </c>
      <c r="C32" s="19" t="s">
        <v>15</v>
      </c>
      <c r="D32" s="19" t="s">
        <v>236</v>
      </c>
      <c r="E32" s="18" t="s">
        <v>144</v>
      </c>
      <c r="F32" s="15"/>
      <c r="G32" s="14" t="s">
        <v>11</v>
      </c>
      <c r="H32" s="21">
        <v>3</v>
      </c>
      <c r="I32" s="21">
        <f t="shared" si="4"/>
        <v>24</v>
      </c>
    </row>
    <row r="33" spans="1:9" ht="31" thickBot="1" x14ac:dyDescent="0.25">
      <c r="A33" s="6">
        <v>32</v>
      </c>
      <c r="B33" s="16" t="s">
        <v>145</v>
      </c>
      <c r="C33" s="19" t="s">
        <v>205</v>
      </c>
      <c r="D33" s="19" t="s">
        <v>243</v>
      </c>
      <c r="E33" s="18" t="s">
        <v>33</v>
      </c>
      <c r="F33" s="15" t="s">
        <v>146</v>
      </c>
      <c r="G33" s="14" t="s">
        <v>11</v>
      </c>
      <c r="H33" s="21">
        <v>1</v>
      </c>
      <c r="I33" s="21">
        <f t="shared" si="4"/>
        <v>8</v>
      </c>
    </row>
    <row r="34" spans="1:9" ht="31" thickBot="1" x14ac:dyDescent="0.25">
      <c r="A34" s="6">
        <v>33</v>
      </c>
      <c r="B34" s="16" t="s">
        <v>147</v>
      </c>
      <c r="C34" s="19" t="s">
        <v>205</v>
      </c>
      <c r="D34" s="19" t="s">
        <v>243</v>
      </c>
      <c r="E34" s="18" t="s">
        <v>33</v>
      </c>
      <c r="F34" s="15" t="s">
        <v>148</v>
      </c>
      <c r="G34" s="14" t="s">
        <v>11</v>
      </c>
      <c r="H34" s="21">
        <v>1</v>
      </c>
      <c r="I34" s="21">
        <f t="shared" si="4"/>
        <v>8</v>
      </c>
    </row>
    <row r="35" spans="1:9" ht="31" thickBot="1" x14ac:dyDescent="0.25">
      <c r="A35" s="6">
        <v>34</v>
      </c>
      <c r="B35" s="16" t="s">
        <v>149</v>
      </c>
      <c r="C35" s="19" t="s">
        <v>205</v>
      </c>
      <c r="D35" s="19" t="s">
        <v>243</v>
      </c>
      <c r="E35" s="18" t="s">
        <v>33</v>
      </c>
      <c r="F35" s="15" t="s">
        <v>150</v>
      </c>
      <c r="G35" s="14" t="s">
        <v>11</v>
      </c>
      <c r="H35" s="21">
        <v>1</v>
      </c>
      <c r="I35" s="21">
        <f t="shared" si="4"/>
        <v>8</v>
      </c>
    </row>
    <row r="36" spans="1:9" ht="31" thickBot="1" x14ac:dyDescent="0.25">
      <c r="A36" s="6">
        <v>35</v>
      </c>
      <c r="B36" s="16" t="s">
        <v>151</v>
      </c>
      <c r="C36" s="19" t="s">
        <v>15</v>
      </c>
      <c r="D36" s="19" t="s">
        <v>123</v>
      </c>
      <c r="E36" s="18" t="s">
        <v>33</v>
      </c>
      <c r="F36" s="15" t="s">
        <v>152</v>
      </c>
      <c r="G36" s="14" t="s">
        <v>11</v>
      </c>
      <c r="H36" s="21">
        <v>1</v>
      </c>
      <c r="I36" s="21">
        <f t="shared" si="4"/>
        <v>8</v>
      </c>
    </row>
    <row r="37" spans="1:9" ht="31" thickBot="1" x14ac:dyDescent="0.25">
      <c r="A37" s="6">
        <v>36</v>
      </c>
      <c r="B37" s="16" t="s">
        <v>151</v>
      </c>
      <c r="C37" s="19" t="s">
        <v>15</v>
      </c>
      <c r="D37" s="19" t="s">
        <v>156</v>
      </c>
      <c r="E37" s="18" t="s">
        <v>33</v>
      </c>
      <c r="F37" s="15" t="s">
        <v>157</v>
      </c>
      <c r="G37" s="14" t="s">
        <v>11</v>
      </c>
      <c r="H37" s="21">
        <v>1</v>
      </c>
      <c r="I37" s="21">
        <f t="shared" si="4"/>
        <v>8</v>
      </c>
    </row>
    <row r="38" spans="1:9" ht="31" thickBot="1" x14ac:dyDescent="0.25">
      <c r="A38" s="6">
        <v>37</v>
      </c>
      <c r="B38" s="16" t="s">
        <v>151</v>
      </c>
      <c r="C38" s="19" t="s">
        <v>15</v>
      </c>
      <c r="D38" s="19" t="s">
        <v>140</v>
      </c>
      <c r="E38" s="18" t="s">
        <v>33</v>
      </c>
      <c r="F38" s="15" t="s">
        <v>154</v>
      </c>
      <c r="G38" s="14" t="s">
        <v>11</v>
      </c>
      <c r="H38" s="21">
        <v>1</v>
      </c>
      <c r="I38" s="21">
        <f t="shared" si="4"/>
        <v>8</v>
      </c>
    </row>
    <row r="39" spans="1:9" ht="31" thickBot="1" x14ac:dyDescent="0.25">
      <c r="A39" s="6">
        <v>38</v>
      </c>
      <c r="B39" s="16" t="s">
        <v>151</v>
      </c>
      <c r="C39" s="19" t="s">
        <v>15</v>
      </c>
      <c r="D39" s="19" t="s">
        <v>156</v>
      </c>
      <c r="E39" s="18" t="s">
        <v>33</v>
      </c>
      <c r="F39" s="15" t="s">
        <v>157</v>
      </c>
      <c r="G39" s="14" t="s">
        <v>11</v>
      </c>
      <c r="H39" s="21">
        <v>1</v>
      </c>
      <c r="I39" s="21">
        <f t="shared" si="4"/>
        <v>8</v>
      </c>
    </row>
    <row r="40" spans="1:9" ht="31" thickBot="1" x14ac:dyDescent="0.25">
      <c r="A40" s="6">
        <v>39</v>
      </c>
      <c r="B40" s="16" t="s">
        <v>151</v>
      </c>
      <c r="C40" s="19" t="s">
        <v>15</v>
      </c>
      <c r="D40" s="19" t="s">
        <v>156</v>
      </c>
      <c r="E40" s="29" t="s">
        <v>33</v>
      </c>
      <c r="F40" s="30" t="s">
        <v>153</v>
      </c>
      <c r="G40" s="13" t="s">
        <v>11</v>
      </c>
      <c r="H40" s="21">
        <v>1</v>
      </c>
      <c r="I40" s="21">
        <f t="shared" ref="I40:I49" si="5">H40*8</f>
        <v>8</v>
      </c>
    </row>
    <row r="41" spans="1:9" ht="31" thickBot="1" x14ac:dyDescent="0.25">
      <c r="A41" s="6">
        <v>40</v>
      </c>
      <c r="B41" s="16" t="s">
        <v>151</v>
      </c>
      <c r="C41" s="20" t="s">
        <v>15</v>
      </c>
      <c r="D41" s="20" t="s">
        <v>140</v>
      </c>
      <c r="E41" s="29" t="s">
        <v>33</v>
      </c>
      <c r="F41" s="30" t="s">
        <v>158</v>
      </c>
      <c r="G41" s="13" t="s">
        <v>11</v>
      </c>
      <c r="H41" s="21">
        <v>1</v>
      </c>
      <c r="I41" s="21">
        <f t="shared" si="5"/>
        <v>8</v>
      </c>
    </row>
    <row r="42" spans="1:9" ht="31" thickBot="1" x14ac:dyDescent="0.25">
      <c r="A42" s="6">
        <v>41</v>
      </c>
      <c r="B42" s="16" t="s">
        <v>151</v>
      </c>
      <c r="C42" s="20" t="s">
        <v>15</v>
      </c>
      <c r="D42" s="20" t="s">
        <v>140</v>
      </c>
      <c r="E42" s="29" t="s">
        <v>33</v>
      </c>
      <c r="F42" s="30" t="s">
        <v>158</v>
      </c>
      <c r="G42" s="13" t="s">
        <v>11</v>
      </c>
      <c r="H42" s="21">
        <v>1</v>
      </c>
      <c r="I42" s="21">
        <f>H42*8</f>
        <v>8</v>
      </c>
    </row>
    <row r="43" spans="1:9" ht="31" thickBot="1" x14ac:dyDescent="0.25">
      <c r="A43" s="6">
        <v>42</v>
      </c>
      <c r="B43" s="16" t="s">
        <v>151</v>
      </c>
      <c r="C43" s="20" t="s">
        <v>207</v>
      </c>
      <c r="D43" s="20" t="s">
        <v>140</v>
      </c>
      <c r="E43" s="29" t="s">
        <v>33</v>
      </c>
      <c r="F43" s="30" t="s">
        <v>155</v>
      </c>
      <c r="G43" s="13" t="s">
        <v>11</v>
      </c>
      <c r="H43" s="21">
        <v>1</v>
      </c>
      <c r="I43" s="21">
        <f t="shared" si="5"/>
        <v>8</v>
      </c>
    </row>
    <row r="44" spans="1:9" ht="31" thickBot="1" x14ac:dyDescent="0.25">
      <c r="A44" s="6">
        <v>43</v>
      </c>
      <c r="B44" s="16" t="s">
        <v>161</v>
      </c>
      <c r="C44" s="20" t="s">
        <v>207</v>
      </c>
      <c r="D44" s="20" t="s">
        <v>242</v>
      </c>
      <c r="E44" s="29" t="s">
        <v>61</v>
      </c>
      <c r="F44" s="30"/>
      <c r="G44" s="13" t="s">
        <v>11</v>
      </c>
      <c r="H44" s="21">
        <v>2</v>
      </c>
      <c r="I44" s="21">
        <f t="shared" si="5"/>
        <v>16</v>
      </c>
    </row>
    <row r="45" spans="1:9" ht="31" thickBot="1" x14ac:dyDescent="0.25">
      <c r="A45" s="6">
        <v>44</v>
      </c>
      <c r="B45" s="16" t="s">
        <v>162</v>
      </c>
      <c r="C45" s="20" t="s">
        <v>231</v>
      </c>
      <c r="D45" s="20" t="s">
        <v>265</v>
      </c>
      <c r="E45" s="29" t="s">
        <v>61</v>
      </c>
      <c r="F45" s="30" t="s">
        <v>163</v>
      </c>
      <c r="G45" s="13" t="s">
        <v>11</v>
      </c>
      <c r="H45" s="21">
        <v>2</v>
      </c>
      <c r="I45" s="21">
        <f t="shared" si="5"/>
        <v>16</v>
      </c>
    </row>
    <row r="46" spans="1:9" ht="31" thickBot="1" x14ac:dyDescent="0.25">
      <c r="A46" s="6">
        <v>45</v>
      </c>
      <c r="B46" s="16" t="s">
        <v>161</v>
      </c>
      <c r="C46" s="20" t="s">
        <v>207</v>
      </c>
      <c r="D46" s="20" t="s">
        <v>261</v>
      </c>
      <c r="E46" s="29" t="s">
        <v>33</v>
      </c>
      <c r="F46" s="30"/>
      <c r="G46" s="13" t="s">
        <v>165</v>
      </c>
      <c r="H46" s="21">
        <v>1</v>
      </c>
      <c r="I46" s="21">
        <f t="shared" si="5"/>
        <v>8</v>
      </c>
    </row>
    <row r="47" spans="1:9" ht="31" thickBot="1" x14ac:dyDescent="0.25">
      <c r="A47" s="6">
        <v>46</v>
      </c>
      <c r="B47" s="16" t="s">
        <v>161</v>
      </c>
      <c r="C47" s="20" t="s">
        <v>207</v>
      </c>
      <c r="D47" s="20" t="s">
        <v>213</v>
      </c>
      <c r="E47" s="29" t="s">
        <v>33</v>
      </c>
      <c r="F47" s="30">
        <v>45960</v>
      </c>
      <c r="G47" s="13" t="s">
        <v>165</v>
      </c>
      <c r="H47" s="21">
        <v>1</v>
      </c>
      <c r="I47" s="21">
        <f t="shared" si="5"/>
        <v>8</v>
      </c>
    </row>
    <row r="48" spans="1:9" ht="31" thickBot="1" x14ac:dyDescent="0.25">
      <c r="A48" s="6">
        <v>47</v>
      </c>
      <c r="B48" s="16" t="s">
        <v>168</v>
      </c>
      <c r="C48" s="20" t="s">
        <v>207</v>
      </c>
      <c r="D48" s="20" t="s">
        <v>215</v>
      </c>
      <c r="E48" s="29" t="s">
        <v>33</v>
      </c>
      <c r="F48" s="30"/>
      <c r="G48" s="13" t="s">
        <v>73</v>
      </c>
      <c r="H48" s="21">
        <v>1</v>
      </c>
      <c r="I48" s="21">
        <f t="shared" si="5"/>
        <v>8</v>
      </c>
    </row>
    <row r="49" spans="1:9" ht="31" thickBot="1" x14ac:dyDescent="0.25">
      <c r="A49" s="6">
        <v>48</v>
      </c>
      <c r="B49" s="16" t="s">
        <v>173</v>
      </c>
      <c r="C49" s="20" t="s">
        <v>207</v>
      </c>
      <c r="D49" s="20" t="s">
        <v>241</v>
      </c>
      <c r="E49" s="29" t="s">
        <v>33</v>
      </c>
      <c r="F49" s="30"/>
      <c r="G49" s="13" t="s">
        <v>169</v>
      </c>
      <c r="H49" s="21">
        <v>1</v>
      </c>
      <c r="I49" s="21">
        <f t="shared" si="5"/>
        <v>8</v>
      </c>
    </row>
    <row r="50" spans="1:9" ht="31" thickBot="1" x14ac:dyDescent="0.25">
      <c r="A50" s="6">
        <v>49</v>
      </c>
      <c r="B50" s="16" t="s">
        <v>171</v>
      </c>
      <c r="C50" s="20" t="s">
        <v>207</v>
      </c>
      <c r="D50" s="20" t="s">
        <v>237</v>
      </c>
      <c r="E50" s="29" t="s">
        <v>33</v>
      </c>
      <c r="F50" s="30">
        <v>46054</v>
      </c>
      <c r="G50" s="13" t="s">
        <v>11</v>
      </c>
      <c r="H50" s="21">
        <v>1</v>
      </c>
      <c r="I50" s="21">
        <f t="shared" ref="I50:I55" si="6">H50*8</f>
        <v>8</v>
      </c>
    </row>
    <row r="51" spans="1:9" ht="31" thickBot="1" x14ac:dyDescent="0.25">
      <c r="A51" s="6">
        <v>50</v>
      </c>
      <c r="B51" s="16" t="s">
        <v>171</v>
      </c>
      <c r="C51" s="20" t="s">
        <v>207</v>
      </c>
      <c r="D51" s="20" t="s">
        <v>216</v>
      </c>
      <c r="E51" s="29" t="s">
        <v>33</v>
      </c>
      <c r="F51" s="30">
        <v>46082</v>
      </c>
      <c r="G51" s="13" t="s">
        <v>172</v>
      </c>
      <c r="H51" s="21">
        <v>1</v>
      </c>
      <c r="I51" s="21">
        <f t="shared" si="6"/>
        <v>8</v>
      </c>
    </row>
    <row r="52" spans="1:9" ht="31" thickBot="1" x14ac:dyDescent="0.25">
      <c r="A52" s="6">
        <v>51</v>
      </c>
      <c r="B52" s="16" t="s">
        <v>171</v>
      </c>
      <c r="C52" s="20" t="s">
        <v>207</v>
      </c>
      <c r="D52" s="20" t="s">
        <v>238</v>
      </c>
      <c r="E52" s="29" t="s">
        <v>33</v>
      </c>
      <c r="F52" s="30">
        <v>46082</v>
      </c>
      <c r="G52" s="13" t="s">
        <v>172</v>
      </c>
      <c r="H52" s="21">
        <v>1</v>
      </c>
      <c r="I52" s="21">
        <f t="shared" si="6"/>
        <v>8</v>
      </c>
    </row>
    <row r="53" spans="1:9" ht="31" thickBot="1" x14ac:dyDescent="0.25">
      <c r="A53" s="6">
        <v>52</v>
      </c>
      <c r="B53" s="16" t="s">
        <v>171</v>
      </c>
      <c r="C53" s="20" t="s">
        <v>207</v>
      </c>
      <c r="D53" s="20" t="s">
        <v>239</v>
      </c>
      <c r="E53" s="29" t="s">
        <v>33</v>
      </c>
      <c r="F53" s="30">
        <v>46082</v>
      </c>
      <c r="G53" s="13" t="s">
        <v>172</v>
      </c>
      <c r="H53" s="21">
        <v>1</v>
      </c>
      <c r="I53" s="21">
        <f t="shared" si="6"/>
        <v>8</v>
      </c>
    </row>
    <row r="54" spans="1:9" ht="31" thickBot="1" x14ac:dyDescent="0.25">
      <c r="A54" s="6">
        <v>53</v>
      </c>
      <c r="B54" s="16" t="s">
        <v>171</v>
      </c>
      <c r="C54" s="20" t="s">
        <v>207</v>
      </c>
      <c r="D54" s="20" t="s">
        <v>240</v>
      </c>
      <c r="E54" s="29" t="s">
        <v>33</v>
      </c>
      <c r="F54" s="30">
        <v>46174</v>
      </c>
      <c r="G54" s="13" t="s">
        <v>11</v>
      </c>
      <c r="H54" s="21">
        <v>1</v>
      </c>
      <c r="I54" s="21">
        <f t="shared" si="6"/>
        <v>8</v>
      </c>
    </row>
    <row r="55" spans="1:9" ht="31" thickBot="1" x14ac:dyDescent="0.25">
      <c r="A55" s="6">
        <v>54</v>
      </c>
      <c r="B55" s="16" t="s">
        <v>171</v>
      </c>
      <c r="C55" s="20" t="s">
        <v>207</v>
      </c>
      <c r="D55" s="20" t="s">
        <v>240</v>
      </c>
      <c r="E55" s="29" t="s">
        <v>33</v>
      </c>
      <c r="F55" s="30">
        <v>46174</v>
      </c>
      <c r="G55" s="13" t="s">
        <v>174</v>
      </c>
      <c r="H55" s="21">
        <v>1</v>
      </c>
      <c r="I55" s="21">
        <f t="shared" si="6"/>
        <v>8</v>
      </c>
    </row>
    <row r="56" spans="1:9" x14ac:dyDescent="0.2">
      <c r="A56" s="24"/>
      <c r="B56" s="25"/>
      <c r="C56" s="26"/>
      <c r="D56" s="26"/>
      <c r="E56" s="27"/>
      <c r="F56" s="28"/>
      <c r="G56" s="24"/>
      <c r="H56" s="21">
        <f>SUM(H2:H55)</f>
        <v>142.5</v>
      </c>
      <c r="I56" s="21">
        <f>SUM(I2:I55)</f>
        <v>1140</v>
      </c>
    </row>
    <row r="57" spans="1:9" x14ac:dyDescent="0.2">
      <c r="A57" s="24"/>
      <c r="B57" s="25"/>
      <c r="C57" s="26"/>
      <c r="D57" s="26"/>
      <c r="E57" s="27"/>
      <c r="F57" s="28"/>
      <c r="G57" s="24"/>
      <c r="H57" s="21"/>
      <c r="I57" s="21"/>
    </row>
    <row r="58" spans="1:9" x14ac:dyDescent="0.2">
      <c r="A58" s="24"/>
      <c r="B58" s="25"/>
      <c r="C58" s="26"/>
      <c r="D58" s="26"/>
      <c r="E58" s="27"/>
      <c r="F58" s="28"/>
      <c r="G58" s="24"/>
      <c r="H58" s="21"/>
      <c r="I58" s="21"/>
    </row>
    <row r="59" spans="1:9" x14ac:dyDescent="0.2">
      <c r="A59" s="24"/>
      <c r="B59" s="25"/>
      <c r="C59" s="26"/>
      <c r="D59" s="26"/>
      <c r="E59" s="27"/>
      <c r="F59" s="28"/>
      <c r="G59" s="24"/>
      <c r="H59" s="21"/>
      <c r="I59" s="21"/>
    </row>
    <row r="60" spans="1:9" x14ac:dyDescent="0.2">
      <c r="A60" s="24"/>
      <c r="B60" s="25"/>
      <c r="C60" s="26"/>
      <c r="D60" s="26"/>
      <c r="E60" s="27"/>
      <c r="F60" s="28"/>
      <c r="G60" s="24"/>
      <c r="H60" s="21"/>
      <c r="I60" s="21"/>
    </row>
    <row r="61" spans="1:9" x14ac:dyDescent="0.2">
      <c r="A61" s="24"/>
      <c r="B61" s="25"/>
      <c r="C61" s="26"/>
      <c r="D61" s="26"/>
      <c r="E61" s="27"/>
      <c r="F61" s="28"/>
      <c r="G61" s="24"/>
      <c r="H61" s="21"/>
      <c r="I61" s="21"/>
    </row>
    <row r="62" spans="1:9" x14ac:dyDescent="0.2">
      <c r="I62" s="11"/>
    </row>
  </sheetData>
  <autoFilter ref="C1:C62" xr:uid="{B9465438-1070-4F4B-8653-2DA198B0202F}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9B44F-8E94-4CAD-BAB3-D6CD8FBF06D7}">
  <dimension ref="A1:J20"/>
  <sheetViews>
    <sheetView topLeftCell="A13" zoomScale="115" zoomScaleNormal="115" workbookViewId="0">
      <selection activeCell="D15" sqref="D15"/>
    </sheetView>
  </sheetViews>
  <sheetFormatPr baseColWidth="10" defaultColWidth="8.83203125" defaultRowHeight="15" x14ac:dyDescent="0.2"/>
  <cols>
    <col min="1" max="1" width="5.5" style="17" customWidth="1"/>
    <col min="2" max="3" width="19.6640625" customWidth="1"/>
    <col min="4" max="4" width="18.33203125" customWidth="1"/>
    <col min="5" max="5" width="11" customWidth="1"/>
    <col min="6" max="6" width="23.83203125" bestFit="1" customWidth="1"/>
    <col min="7" max="7" width="17.5" customWidth="1"/>
    <col min="10" max="10" width="20.33203125" style="37" customWidth="1"/>
    <col min="11" max="11" width="17.5" customWidth="1"/>
  </cols>
  <sheetData>
    <row r="1" spans="1:10" ht="16" thickBot="1" x14ac:dyDescent="0.25">
      <c r="A1" s="1" t="s">
        <v>6</v>
      </c>
      <c r="B1" s="2" t="s">
        <v>21</v>
      </c>
      <c r="C1" s="2" t="s">
        <v>244</v>
      </c>
      <c r="D1" s="2" t="s">
        <v>8</v>
      </c>
      <c r="E1" s="2" t="s">
        <v>0</v>
      </c>
      <c r="F1" s="2" t="s">
        <v>9</v>
      </c>
      <c r="G1" s="2" t="s">
        <v>10</v>
      </c>
    </row>
    <row r="2" spans="1:10" ht="61" thickBot="1" x14ac:dyDescent="0.25">
      <c r="A2" s="3">
        <v>1</v>
      </c>
      <c r="B2" s="7" t="s">
        <v>52</v>
      </c>
      <c r="C2" s="46" t="s">
        <v>177</v>
      </c>
      <c r="D2" s="23" t="s">
        <v>53</v>
      </c>
      <c r="E2" s="10" t="s">
        <v>23</v>
      </c>
      <c r="F2" s="45">
        <v>43009</v>
      </c>
      <c r="G2" s="9" t="s">
        <v>54</v>
      </c>
      <c r="H2">
        <v>3</v>
      </c>
      <c r="I2">
        <f>H2*8</f>
        <v>24</v>
      </c>
    </row>
    <row r="3" spans="1:10" ht="61" thickBot="1" x14ac:dyDescent="0.25">
      <c r="A3" s="3">
        <v>2</v>
      </c>
      <c r="B3" s="4" t="s">
        <v>55</v>
      </c>
      <c r="C3" s="46" t="s">
        <v>177</v>
      </c>
      <c r="D3" s="23" t="s">
        <v>56</v>
      </c>
      <c r="E3" s="10" t="s">
        <v>23</v>
      </c>
      <c r="F3" s="45">
        <v>43040</v>
      </c>
      <c r="G3" s="9" t="s">
        <v>25</v>
      </c>
      <c r="H3">
        <v>3</v>
      </c>
      <c r="I3">
        <f t="shared" ref="I3:I11" si="0">H3*8</f>
        <v>24</v>
      </c>
    </row>
    <row r="4" spans="1:10" ht="61" thickBot="1" x14ac:dyDescent="0.25">
      <c r="A4" s="3">
        <v>3</v>
      </c>
      <c r="B4" s="4" t="s">
        <v>55</v>
      </c>
      <c r="C4" s="46" t="s">
        <v>177</v>
      </c>
      <c r="D4" s="23" t="s">
        <v>57</v>
      </c>
      <c r="E4" s="10" t="s">
        <v>23</v>
      </c>
      <c r="F4" s="45">
        <v>43132</v>
      </c>
      <c r="G4" s="9" t="s">
        <v>58</v>
      </c>
      <c r="H4">
        <v>3</v>
      </c>
      <c r="I4">
        <f t="shared" si="0"/>
        <v>24</v>
      </c>
    </row>
    <row r="5" spans="1:10" ht="91" thickBot="1" x14ac:dyDescent="0.25">
      <c r="A5" s="3">
        <v>4</v>
      </c>
      <c r="B5" s="4" t="s">
        <v>59</v>
      </c>
      <c r="C5" s="23" t="s">
        <v>245</v>
      </c>
      <c r="D5" s="23" t="s">
        <v>60</v>
      </c>
      <c r="E5" s="10" t="s">
        <v>61</v>
      </c>
      <c r="F5" s="45">
        <v>43374</v>
      </c>
      <c r="G5" s="9" t="s">
        <v>62</v>
      </c>
      <c r="H5">
        <v>2</v>
      </c>
      <c r="I5">
        <f t="shared" si="0"/>
        <v>16</v>
      </c>
    </row>
    <row r="6" spans="1:10" ht="91" thickBot="1" x14ac:dyDescent="0.25">
      <c r="A6" s="3">
        <v>5</v>
      </c>
      <c r="B6" s="4" t="s">
        <v>120</v>
      </c>
      <c r="C6" s="23" t="s">
        <v>245</v>
      </c>
      <c r="D6" s="23" t="s">
        <v>266</v>
      </c>
      <c r="E6" s="10" t="s">
        <v>33</v>
      </c>
      <c r="F6" s="45">
        <v>43405</v>
      </c>
      <c r="G6" s="9" t="s">
        <v>11</v>
      </c>
      <c r="H6">
        <v>1</v>
      </c>
      <c r="I6">
        <f t="shared" si="0"/>
        <v>8</v>
      </c>
    </row>
    <row r="7" spans="1:10" ht="91" thickBot="1" x14ac:dyDescent="0.25">
      <c r="A7" s="3">
        <v>6</v>
      </c>
      <c r="B7" s="4" t="s">
        <v>121</v>
      </c>
      <c r="C7" s="23" t="s">
        <v>245</v>
      </c>
      <c r="D7" s="23" t="s">
        <v>64</v>
      </c>
      <c r="E7" s="10" t="s">
        <v>33</v>
      </c>
      <c r="F7" s="45">
        <v>43556</v>
      </c>
      <c r="G7" s="9" t="s">
        <v>62</v>
      </c>
      <c r="H7">
        <v>1</v>
      </c>
      <c r="I7">
        <f t="shared" si="0"/>
        <v>8</v>
      </c>
    </row>
    <row r="8" spans="1:10" ht="46" thickBot="1" x14ac:dyDescent="0.25">
      <c r="A8" s="3">
        <v>7</v>
      </c>
      <c r="B8" s="4" t="s">
        <v>65</v>
      </c>
      <c r="C8" s="23" t="s">
        <v>246</v>
      </c>
      <c r="D8" s="23" t="s">
        <v>66</v>
      </c>
      <c r="E8" s="10" t="s">
        <v>61</v>
      </c>
      <c r="F8" s="45">
        <v>43709</v>
      </c>
      <c r="G8" s="9" t="s">
        <v>67</v>
      </c>
      <c r="H8">
        <v>2</v>
      </c>
      <c r="I8">
        <f t="shared" si="0"/>
        <v>16</v>
      </c>
    </row>
    <row r="9" spans="1:10" ht="91" thickBot="1" x14ac:dyDescent="0.25">
      <c r="A9" s="3">
        <v>8</v>
      </c>
      <c r="B9" s="4" t="s">
        <v>119</v>
      </c>
      <c r="C9" s="23" t="s">
        <v>245</v>
      </c>
      <c r="D9" s="23" t="s">
        <v>68</v>
      </c>
      <c r="E9" s="10" t="s">
        <v>33</v>
      </c>
      <c r="F9" s="45">
        <v>43709</v>
      </c>
      <c r="G9" s="9" t="s">
        <v>69</v>
      </c>
      <c r="H9">
        <v>1</v>
      </c>
      <c r="I9">
        <f t="shared" si="0"/>
        <v>8</v>
      </c>
    </row>
    <row r="10" spans="1:10" ht="91" thickBot="1" x14ac:dyDescent="0.25">
      <c r="A10" s="3">
        <v>9</v>
      </c>
      <c r="B10" s="4" t="s">
        <v>63</v>
      </c>
      <c r="C10" s="23" t="s">
        <v>245</v>
      </c>
      <c r="D10" s="23" t="s">
        <v>70</v>
      </c>
      <c r="E10" s="10" t="s">
        <v>33</v>
      </c>
      <c r="F10" s="45">
        <v>43709</v>
      </c>
      <c r="G10" s="9" t="s">
        <v>71</v>
      </c>
      <c r="H10">
        <v>1</v>
      </c>
      <c r="I10">
        <f t="shared" si="0"/>
        <v>8</v>
      </c>
    </row>
    <row r="11" spans="1:10" ht="91" thickBot="1" x14ac:dyDescent="0.25">
      <c r="A11" s="3">
        <v>10</v>
      </c>
      <c r="B11" s="4" t="s">
        <v>121</v>
      </c>
      <c r="C11" s="23" t="s">
        <v>245</v>
      </c>
      <c r="D11" s="23" t="s">
        <v>247</v>
      </c>
      <c r="E11" s="10" t="s">
        <v>61</v>
      </c>
      <c r="F11" s="45">
        <v>44166</v>
      </c>
      <c r="G11" s="9" t="s">
        <v>11</v>
      </c>
      <c r="H11">
        <v>2</v>
      </c>
      <c r="I11">
        <f t="shared" si="0"/>
        <v>16</v>
      </c>
    </row>
    <row r="12" spans="1:10" ht="46" thickBot="1" x14ac:dyDescent="0.25">
      <c r="A12" s="3">
        <v>11</v>
      </c>
      <c r="B12" s="4" t="s">
        <v>122</v>
      </c>
      <c r="C12" s="23" t="s">
        <v>249</v>
      </c>
      <c r="D12" s="23" t="s">
        <v>248</v>
      </c>
      <c r="E12" s="10" t="s">
        <v>33</v>
      </c>
      <c r="F12" s="45" t="s">
        <v>93</v>
      </c>
      <c r="G12" s="9" t="s">
        <v>11</v>
      </c>
      <c r="H12">
        <v>1</v>
      </c>
      <c r="I12">
        <f t="shared" ref="I12:I19" si="1">H12*8</f>
        <v>8</v>
      </c>
    </row>
    <row r="13" spans="1:10" ht="91" thickBot="1" x14ac:dyDescent="0.25">
      <c r="A13" s="3">
        <v>12</v>
      </c>
      <c r="B13" s="4" t="s">
        <v>121</v>
      </c>
      <c r="C13" s="23" t="s">
        <v>250</v>
      </c>
      <c r="D13" s="23" t="s">
        <v>251</v>
      </c>
      <c r="E13" s="10" t="s">
        <v>61</v>
      </c>
      <c r="F13" s="45" t="s">
        <v>108</v>
      </c>
      <c r="G13" s="9" t="s">
        <v>19</v>
      </c>
      <c r="H13">
        <v>2</v>
      </c>
      <c r="I13">
        <f t="shared" si="1"/>
        <v>16</v>
      </c>
    </row>
    <row r="14" spans="1:10" ht="91" thickBot="1" x14ac:dyDescent="0.25">
      <c r="A14" s="3">
        <v>13</v>
      </c>
      <c r="B14" s="4" t="s">
        <v>121</v>
      </c>
      <c r="C14" s="23" t="s">
        <v>245</v>
      </c>
      <c r="D14" s="23" t="s">
        <v>252</v>
      </c>
      <c r="E14" s="10" t="s">
        <v>61</v>
      </c>
      <c r="F14" s="45" t="s">
        <v>114</v>
      </c>
      <c r="G14" s="9" t="s">
        <v>134</v>
      </c>
      <c r="H14">
        <v>2</v>
      </c>
      <c r="I14">
        <f t="shared" si="1"/>
        <v>16</v>
      </c>
    </row>
    <row r="15" spans="1:10" ht="91" thickBot="1" x14ac:dyDescent="0.25">
      <c r="A15" s="3">
        <v>14</v>
      </c>
      <c r="B15" s="4" t="s">
        <v>121</v>
      </c>
      <c r="C15" s="23" t="s">
        <v>250</v>
      </c>
      <c r="D15" s="23" t="s">
        <v>354</v>
      </c>
      <c r="E15" s="10" t="s">
        <v>33</v>
      </c>
      <c r="F15" s="45">
        <v>44467</v>
      </c>
      <c r="G15" s="9" t="s">
        <v>69</v>
      </c>
      <c r="H15">
        <v>2</v>
      </c>
      <c r="I15">
        <f t="shared" si="1"/>
        <v>16</v>
      </c>
      <c r="J15" s="44"/>
    </row>
    <row r="16" spans="1:10" ht="91" thickBot="1" x14ac:dyDescent="0.25">
      <c r="A16" s="3">
        <v>15</v>
      </c>
      <c r="B16" s="4" t="s">
        <v>121</v>
      </c>
      <c r="C16" s="23" t="s">
        <v>250</v>
      </c>
      <c r="D16" s="23" t="s">
        <v>352</v>
      </c>
      <c r="E16" s="10" t="s">
        <v>33</v>
      </c>
      <c r="F16" s="45">
        <v>44517</v>
      </c>
      <c r="G16" s="9" t="s">
        <v>69</v>
      </c>
      <c r="H16">
        <v>2</v>
      </c>
      <c r="I16">
        <f t="shared" ref="I16" si="2">H16*8</f>
        <v>16</v>
      </c>
      <c r="J16" s="44"/>
    </row>
    <row r="17" spans="1:10" ht="91" thickBot="1" x14ac:dyDescent="0.25">
      <c r="A17" s="3">
        <v>16</v>
      </c>
      <c r="B17" s="4" t="s">
        <v>121</v>
      </c>
      <c r="C17" s="23" t="s">
        <v>250</v>
      </c>
      <c r="D17" s="23" t="s">
        <v>351</v>
      </c>
      <c r="E17" s="10" t="s">
        <v>33</v>
      </c>
      <c r="F17" s="45">
        <v>44644</v>
      </c>
      <c r="G17" s="9" t="s">
        <v>353</v>
      </c>
      <c r="H17">
        <v>2</v>
      </c>
      <c r="I17">
        <f t="shared" ref="I17" si="3">H17*8</f>
        <v>16</v>
      </c>
      <c r="J17" s="44"/>
    </row>
    <row r="18" spans="1:10" ht="91" thickBot="1" x14ac:dyDescent="0.25">
      <c r="A18" s="3">
        <v>17</v>
      </c>
      <c r="B18" s="4" t="s">
        <v>121</v>
      </c>
      <c r="C18" s="23" t="s">
        <v>254</v>
      </c>
      <c r="D18" s="23" t="s">
        <v>258</v>
      </c>
      <c r="E18" s="10" t="s">
        <v>33</v>
      </c>
      <c r="F18" s="45">
        <v>45987</v>
      </c>
      <c r="G18" s="9" t="s">
        <v>167</v>
      </c>
      <c r="H18">
        <v>2</v>
      </c>
      <c r="I18">
        <f t="shared" si="1"/>
        <v>16</v>
      </c>
    </row>
    <row r="19" spans="1:10" ht="91" thickBot="1" x14ac:dyDescent="0.25">
      <c r="A19" s="3">
        <v>18</v>
      </c>
      <c r="B19" s="4" t="s">
        <v>121</v>
      </c>
      <c r="C19" s="23" t="s">
        <v>254</v>
      </c>
      <c r="D19" s="23" t="s">
        <v>253</v>
      </c>
      <c r="E19" s="10" t="s">
        <v>33</v>
      </c>
      <c r="F19" s="45">
        <v>46001</v>
      </c>
      <c r="G19" s="9" t="s">
        <v>167</v>
      </c>
      <c r="H19">
        <v>1</v>
      </c>
      <c r="I19">
        <f t="shared" si="1"/>
        <v>8</v>
      </c>
    </row>
    <row r="20" spans="1:10" x14ac:dyDescent="0.2">
      <c r="I20" s="11">
        <f>SUM(I2:I15)</f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Training</vt:lpstr>
      <vt:lpstr>Consultancy</vt:lpstr>
      <vt:lpstr>Auditor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Adam Rahmat Agung</cp:lastModifiedBy>
  <dcterms:created xsi:type="dcterms:W3CDTF">2020-08-11T15:09:54Z</dcterms:created>
  <dcterms:modified xsi:type="dcterms:W3CDTF">2026-08-23T11:55:21Z</dcterms:modified>
</cp:coreProperties>
</file>